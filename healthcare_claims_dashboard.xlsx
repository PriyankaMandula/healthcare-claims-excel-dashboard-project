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PRIYANKA\Downloads\"/>
    </mc:Choice>
  </mc:AlternateContent>
  <xr:revisionPtr revIDLastSave="0" documentId="8_{2C4272DA-3434-4F72-AF40-C75F23939D2C}" xr6:coauthVersionLast="47" xr6:coauthVersionMax="47" xr10:uidLastSave="{00000000-0000-0000-0000-000000000000}"/>
  <bookViews>
    <workbookView xWindow="-110" yWindow="-110" windowWidth="19420" windowHeight="10300" xr2:uid="{F7D76B29-E0FA-4481-A210-75B68C477A00}"/>
  </bookViews>
  <sheets>
    <sheet name="Dashboard" sheetId="6" r:id="rId1"/>
    <sheet name="DATA" sheetId="1" r:id="rId2"/>
    <sheet name="Pivot tables" sheetId="4" r:id="rId3"/>
  </sheets>
  <definedNames>
    <definedName name="NativeTimeline_Claim_Date">#N/A</definedName>
    <definedName name="Slicer_City">#N/A</definedName>
    <definedName name="Slicer_Claim_Status">#N/A</definedName>
    <definedName name="Slicer_Insurance_Type">#N/A</definedName>
  </definedNames>
  <calcPr calcId="191029" refMode="R1C1"/>
  <pivotCaches>
    <pivotCache cacheId="38"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7" i="6" l="1"/>
  <c r="C7" i="6"/>
  <c r="B7" i="6"/>
  <c r="A7" i="6"/>
  <c r="N2" i="1"/>
</calcChain>
</file>

<file path=xl/sharedStrings.xml><?xml version="1.0" encoding="utf-8"?>
<sst xmlns="http://schemas.openxmlformats.org/spreadsheetml/2006/main" count="9677" uniqueCount="1277">
  <si>
    <t>Claim_ID</t>
  </si>
  <si>
    <t>Patient_Name</t>
  </si>
  <si>
    <t>Hospital_Name</t>
  </si>
  <si>
    <t>Diagnosis</t>
  </si>
  <si>
    <t>Claim_Amount</t>
  </si>
  <si>
    <t>Approved_Amount</t>
  </si>
  <si>
    <t>Claim_Status</t>
  </si>
  <si>
    <t>Claim_Date</t>
  </si>
  <si>
    <t>Approval_Date</t>
  </si>
  <si>
    <t>Insurance_Type</t>
  </si>
  <si>
    <t>City</t>
  </si>
  <si>
    <t>Processing_Days</t>
  </si>
  <si>
    <t>Claim_Month</t>
  </si>
  <si>
    <t>CLM10000</t>
  </si>
  <si>
    <t>Priya Sharma</t>
  </si>
  <si>
    <t>Apollo Hospital</t>
  </si>
  <si>
    <t>Migraine</t>
  </si>
  <si>
    <t>Approved</t>
  </si>
  <si>
    <t>Private</t>
  </si>
  <si>
    <t>Delhi</t>
  </si>
  <si>
    <t>Feb</t>
  </si>
  <si>
    <t>CLM10001</t>
  </si>
  <si>
    <t>Meena Gupta</t>
  </si>
  <si>
    <t>Fever</t>
  </si>
  <si>
    <t>Sep</t>
  </si>
  <si>
    <t>CLM10002</t>
  </si>
  <si>
    <t>Kiran Patel</t>
  </si>
  <si>
    <t>Aig Hospital</t>
  </si>
  <si>
    <t>Cardiac Issue</t>
  </si>
  <si>
    <t>Rejected</t>
  </si>
  <si>
    <t>Pune</t>
  </si>
  <si>
    <t>May</t>
  </si>
  <si>
    <t>CLM10003</t>
  </si>
  <si>
    <t>Anil Reddy</t>
  </si>
  <si>
    <t>Infection</t>
  </si>
  <si>
    <t>Chennai</t>
  </si>
  <si>
    <t>Jun</t>
  </si>
  <si>
    <t>CLM10004</t>
  </si>
  <si>
    <t>Kims</t>
  </si>
  <si>
    <t>Jan</t>
  </si>
  <si>
    <t>CLM10005</t>
  </si>
  <si>
    <t>Rahul Verma</t>
  </si>
  <si>
    <t>CLM10006</t>
  </si>
  <si>
    <t>Bangalore</t>
  </si>
  <si>
    <t>Aug</t>
  </si>
  <si>
    <t>CLM10007</t>
  </si>
  <si>
    <t>Yashoda Hospitals</t>
  </si>
  <si>
    <t>Hyderabad</t>
  </si>
  <si>
    <t>Nov</t>
  </si>
  <si>
    <t>CLM10008</t>
  </si>
  <si>
    <t>Government</t>
  </si>
  <si>
    <t>Apr</t>
  </si>
  <si>
    <t>CLM10009</t>
  </si>
  <si>
    <t>Rohit Das</t>
  </si>
  <si>
    <t>CLM10010</t>
  </si>
  <si>
    <t>Covid</t>
  </si>
  <si>
    <t>Mumbai</t>
  </si>
  <si>
    <t>CLM10011</t>
  </si>
  <si>
    <t>Asthma</t>
  </si>
  <si>
    <t>CLM10012</t>
  </si>
  <si>
    <t>Ravi Kumar</t>
  </si>
  <si>
    <t>Fracture</t>
  </si>
  <si>
    <t>Dec</t>
  </si>
  <si>
    <t>CLM10013</t>
  </si>
  <si>
    <t>Continental Hospitals</t>
  </si>
  <si>
    <t>CLM10014</t>
  </si>
  <si>
    <t>CLM10015</t>
  </si>
  <si>
    <t>Mar</t>
  </si>
  <si>
    <t>CLM10016</t>
  </si>
  <si>
    <t>CLM10017</t>
  </si>
  <si>
    <t>Diabetes</t>
  </si>
  <si>
    <t>CLM10018</t>
  </si>
  <si>
    <t>Arjun Singh</t>
  </si>
  <si>
    <t>Care Hospitals</t>
  </si>
  <si>
    <t>CLM10019</t>
  </si>
  <si>
    <t>CLM10020</t>
  </si>
  <si>
    <t>Oct</t>
  </si>
  <si>
    <t>CLM10021</t>
  </si>
  <si>
    <t>CLM10022</t>
  </si>
  <si>
    <t>Kavya Nair</t>
  </si>
  <si>
    <t>CLM10023</t>
  </si>
  <si>
    <t>CLM10024</t>
  </si>
  <si>
    <t>CLM10025</t>
  </si>
  <si>
    <t>CLM10026</t>
  </si>
  <si>
    <t>CLM10027</t>
  </si>
  <si>
    <t>Jul</t>
  </si>
  <si>
    <t>CLM10028</t>
  </si>
  <si>
    <t>CLM10029</t>
  </si>
  <si>
    <t>CLM10030</t>
  </si>
  <si>
    <t>CLM10031</t>
  </si>
  <si>
    <t>CLM10032</t>
  </si>
  <si>
    <t>CLM10033</t>
  </si>
  <si>
    <t>CLM10034</t>
  </si>
  <si>
    <t>CLM10035</t>
  </si>
  <si>
    <t>CLM10036</t>
  </si>
  <si>
    <t>CLM10037</t>
  </si>
  <si>
    <t>Sneha Iyer</t>
  </si>
  <si>
    <t>CLM10038</t>
  </si>
  <si>
    <t>CLM10039</t>
  </si>
  <si>
    <t>CLM10040</t>
  </si>
  <si>
    <t>CLM10041</t>
  </si>
  <si>
    <t>CLM10042</t>
  </si>
  <si>
    <t>CLM10043</t>
  </si>
  <si>
    <t>CLM10044</t>
  </si>
  <si>
    <t>CLM10045</t>
  </si>
  <si>
    <t>CLM10046</t>
  </si>
  <si>
    <t>CLM10047</t>
  </si>
  <si>
    <t>CLM10048</t>
  </si>
  <si>
    <t>CLM10049</t>
  </si>
  <si>
    <t>CLM10050</t>
  </si>
  <si>
    <t>CLM10051</t>
  </si>
  <si>
    <t>CLM10052</t>
  </si>
  <si>
    <t>CLM10053</t>
  </si>
  <si>
    <t>CLM10054</t>
  </si>
  <si>
    <t>CLM10055</t>
  </si>
  <si>
    <t>CLM10056</t>
  </si>
  <si>
    <t>CLM10057</t>
  </si>
  <si>
    <t>CLM10058</t>
  </si>
  <si>
    <t>CLM10059</t>
  </si>
  <si>
    <t>CLM10060</t>
  </si>
  <si>
    <t>CLM10061</t>
  </si>
  <si>
    <t>CLM10062</t>
  </si>
  <si>
    <t>CLM10063</t>
  </si>
  <si>
    <t>CLM10064</t>
  </si>
  <si>
    <t>CLM10065</t>
  </si>
  <si>
    <t>CLM10066</t>
  </si>
  <si>
    <t>CLM10067</t>
  </si>
  <si>
    <t>CLM10068</t>
  </si>
  <si>
    <t>CLM10069</t>
  </si>
  <si>
    <t>CLM10070</t>
  </si>
  <si>
    <t>CLM10071</t>
  </si>
  <si>
    <t>CLM10072</t>
  </si>
  <si>
    <t>CLM10073</t>
  </si>
  <si>
    <t>CLM10074</t>
  </si>
  <si>
    <t>CLM10075</t>
  </si>
  <si>
    <t>CLM10076</t>
  </si>
  <si>
    <t>CLM10077</t>
  </si>
  <si>
    <t>CLM10078</t>
  </si>
  <si>
    <t>CLM10079</t>
  </si>
  <si>
    <t>CLM10080</t>
  </si>
  <si>
    <t>CLM10081</t>
  </si>
  <si>
    <t>CLM10082</t>
  </si>
  <si>
    <t>CLM10083</t>
  </si>
  <si>
    <t>CLM10084</t>
  </si>
  <si>
    <t>CLM10085</t>
  </si>
  <si>
    <t>CLM10086</t>
  </si>
  <si>
    <t>CLM10087</t>
  </si>
  <si>
    <t>CLM10088</t>
  </si>
  <si>
    <t>CLM10089</t>
  </si>
  <si>
    <t>CLM10090</t>
  </si>
  <si>
    <t>CLM10091</t>
  </si>
  <si>
    <t>CLM10092</t>
  </si>
  <si>
    <t>CLM10093</t>
  </si>
  <si>
    <t>CLM10094</t>
  </si>
  <si>
    <t>CLM10095</t>
  </si>
  <si>
    <t>CLM10096</t>
  </si>
  <si>
    <t>CLM10097</t>
  </si>
  <si>
    <t>CLM10098</t>
  </si>
  <si>
    <t>CLM10099</t>
  </si>
  <si>
    <t>CLM10100</t>
  </si>
  <si>
    <t>CLM10101</t>
  </si>
  <si>
    <t>CLM10102</t>
  </si>
  <si>
    <t>CLM10103</t>
  </si>
  <si>
    <t>CLM10104</t>
  </si>
  <si>
    <t>CLM10105</t>
  </si>
  <si>
    <t>CLM10106</t>
  </si>
  <si>
    <t>CLM10107</t>
  </si>
  <si>
    <t>CLM10108</t>
  </si>
  <si>
    <t>CLM10109</t>
  </si>
  <si>
    <t>CLM10110</t>
  </si>
  <si>
    <t>CLM10111</t>
  </si>
  <si>
    <t>CLM10112</t>
  </si>
  <si>
    <t>CLM10113</t>
  </si>
  <si>
    <t>CLM10114</t>
  </si>
  <si>
    <t>CLM10115</t>
  </si>
  <si>
    <t>CLM10116</t>
  </si>
  <si>
    <t>CLM10117</t>
  </si>
  <si>
    <t>CLM10118</t>
  </si>
  <si>
    <t>CLM10119</t>
  </si>
  <si>
    <t>CLM10120</t>
  </si>
  <si>
    <t>CLM10121</t>
  </si>
  <si>
    <t>CLM10122</t>
  </si>
  <si>
    <t>CLM10123</t>
  </si>
  <si>
    <t>CLM10124</t>
  </si>
  <si>
    <t>CLM10125</t>
  </si>
  <si>
    <t>CLM10126</t>
  </si>
  <si>
    <t>CLM10127</t>
  </si>
  <si>
    <t>CLM10128</t>
  </si>
  <si>
    <t>CLM10129</t>
  </si>
  <si>
    <t>CLM10130</t>
  </si>
  <si>
    <t>CLM10131</t>
  </si>
  <si>
    <t>CLM10132</t>
  </si>
  <si>
    <t>CLM10133</t>
  </si>
  <si>
    <t>CLM10134</t>
  </si>
  <si>
    <t>CLM10135</t>
  </si>
  <si>
    <t>CLM10136</t>
  </si>
  <si>
    <t>CLM10137</t>
  </si>
  <si>
    <t>CLM10138</t>
  </si>
  <si>
    <t>CLM10139</t>
  </si>
  <si>
    <t>CLM10140</t>
  </si>
  <si>
    <t>CLM10141</t>
  </si>
  <si>
    <t>CLM10142</t>
  </si>
  <si>
    <t>CLM10143</t>
  </si>
  <si>
    <t>CLM10144</t>
  </si>
  <si>
    <t>CLM10145</t>
  </si>
  <si>
    <t>CLM10146</t>
  </si>
  <si>
    <t>CLM10147</t>
  </si>
  <si>
    <t>CLM10148</t>
  </si>
  <si>
    <t>CLM10149</t>
  </si>
  <si>
    <t>CLM10150</t>
  </si>
  <si>
    <t>CLM10151</t>
  </si>
  <si>
    <t>CLM10152</t>
  </si>
  <si>
    <t>CLM10153</t>
  </si>
  <si>
    <t>CLM10154</t>
  </si>
  <si>
    <t>CLM10155</t>
  </si>
  <si>
    <t>CLM10156</t>
  </si>
  <si>
    <t>CLM10157</t>
  </si>
  <si>
    <t>CLM10158</t>
  </si>
  <si>
    <t>CLM10159</t>
  </si>
  <si>
    <t>CLM10160</t>
  </si>
  <si>
    <t>CLM10161</t>
  </si>
  <si>
    <t>CLM10162</t>
  </si>
  <si>
    <t>CLM10163</t>
  </si>
  <si>
    <t>CLM10164</t>
  </si>
  <si>
    <t>CLM10165</t>
  </si>
  <si>
    <t>CLM10166</t>
  </si>
  <si>
    <t>CLM10167</t>
  </si>
  <si>
    <t>CLM10168</t>
  </si>
  <si>
    <t>CLM10169</t>
  </si>
  <si>
    <t>CLM10170</t>
  </si>
  <si>
    <t>CLM10171</t>
  </si>
  <si>
    <t>CLM10172</t>
  </si>
  <si>
    <t>CLM10173</t>
  </si>
  <si>
    <t>CLM10174</t>
  </si>
  <si>
    <t>CLM10175</t>
  </si>
  <si>
    <t>CLM10176</t>
  </si>
  <si>
    <t>CLM10177</t>
  </si>
  <si>
    <t>CLM10178</t>
  </si>
  <si>
    <t>CLM10179</t>
  </si>
  <si>
    <t>CLM10180</t>
  </si>
  <si>
    <t>CLM10181</t>
  </si>
  <si>
    <t>CLM10182</t>
  </si>
  <si>
    <t>CLM10183</t>
  </si>
  <si>
    <t>CLM10184</t>
  </si>
  <si>
    <t>CLM10185</t>
  </si>
  <si>
    <t>CLM10186</t>
  </si>
  <si>
    <t>CLM10187</t>
  </si>
  <si>
    <t>CLM10188</t>
  </si>
  <si>
    <t>CLM10189</t>
  </si>
  <si>
    <t>CLM10190</t>
  </si>
  <si>
    <t>CLM10191</t>
  </si>
  <si>
    <t>CLM10192</t>
  </si>
  <si>
    <t>CLM10193</t>
  </si>
  <si>
    <t>CLM10194</t>
  </si>
  <si>
    <t>CLM10195</t>
  </si>
  <si>
    <t>CLM10196</t>
  </si>
  <si>
    <t>CLM10197</t>
  </si>
  <si>
    <t>CLM10198</t>
  </si>
  <si>
    <t>CLM10199</t>
  </si>
  <si>
    <t>CLM10200</t>
  </si>
  <si>
    <t>CLM10201</t>
  </si>
  <si>
    <t>CLM10202</t>
  </si>
  <si>
    <t>CLM10203</t>
  </si>
  <si>
    <t>CLM10204</t>
  </si>
  <si>
    <t>CLM10205</t>
  </si>
  <si>
    <t>CLM10206</t>
  </si>
  <si>
    <t>CLM10207</t>
  </si>
  <si>
    <t>CLM10208</t>
  </si>
  <si>
    <t>CLM10209</t>
  </si>
  <si>
    <t>CLM10210</t>
  </si>
  <si>
    <t>CLM10211</t>
  </si>
  <si>
    <t>CLM10212</t>
  </si>
  <si>
    <t>CLM10213</t>
  </si>
  <si>
    <t>CLM10214</t>
  </si>
  <si>
    <t>CLM10215</t>
  </si>
  <si>
    <t>CLM10216</t>
  </si>
  <si>
    <t>CLM10217</t>
  </si>
  <si>
    <t>CLM10218</t>
  </si>
  <si>
    <t>CLM10219</t>
  </si>
  <si>
    <t>CLM10220</t>
  </si>
  <si>
    <t>CLM10221</t>
  </si>
  <si>
    <t>CLM10222</t>
  </si>
  <si>
    <t>CLM10223</t>
  </si>
  <si>
    <t>CLM10224</t>
  </si>
  <si>
    <t>CLM10225</t>
  </si>
  <si>
    <t>CLM10226</t>
  </si>
  <si>
    <t>CLM10227</t>
  </si>
  <si>
    <t>CLM10228</t>
  </si>
  <si>
    <t>CLM10229</t>
  </si>
  <si>
    <t>CLM10230</t>
  </si>
  <si>
    <t>CLM10231</t>
  </si>
  <si>
    <t>CLM10232</t>
  </si>
  <si>
    <t>CLM10233</t>
  </si>
  <si>
    <t>CLM10234</t>
  </si>
  <si>
    <t>CLM10235</t>
  </si>
  <si>
    <t>CLM10236</t>
  </si>
  <si>
    <t>CLM10237</t>
  </si>
  <si>
    <t>CLM10238</t>
  </si>
  <si>
    <t>CLM10239</t>
  </si>
  <si>
    <t>CLM10240</t>
  </si>
  <si>
    <t>CLM10241</t>
  </si>
  <si>
    <t>CLM10242</t>
  </si>
  <si>
    <t>CLM10243</t>
  </si>
  <si>
    <t>CLM10244</t>
  </si>
  <si>
    <t>CLM10245</t>
  </si>
  <si>
    <t>CLM10246</t>
  </si>
  <si>
    <t>CLM10247</t>
  </si>
  <si>
    <t>CLM10248</t>
  </si>
  <si>
    <t>CLM10249</t>
  </si>
  <si>
    <t>CLM10250</t>
  </si>
  <si>
    <t>CLM10251</t>
  </si>
  <si>
    <t>CLM10252</t>
  </si>
  <si>
    <t>CLM10253</t>
  </si>
  <si>
    <t>CLM10254</t>
  </si>
  <si>
    <t>CLM10255</t>
  </si>
  <si>
    <t>CLM10256</t>
  </si>
  <si>
    <t>CLM10257</t>
  </si>
  <si>
    <t>CLM10258</t>
  </si>
  <si>
    <t>CLM10259</t>
  </si>
  <si>
    <t>CLM10260</t>
  </si>
  <si>
    <t>CLM10261</t>
  </si>
  <si>
    <t>CLM10262</t>
  </si>
  <si>
    <t>CLM10263</t>
  </si>
  <si>
    <t>CLM10264</t>
  </si>
  <si>
    <t>CLM10265</t>
  </si>
  <si>
    <t>CLM10266</t>
  </si>
  <si>
    <t>CLM10267</t>
  </si>
  <si>
    <t>CLM10268</t>
  </si>
  <si>
    <t>CLM10269</t>
  </si>
  <si>
    <t>CLM10270</t>
  </si>
  <si>
    <t>CLM10271</t>
  </si>
  <si>
    <t>CLM10272</t>
  </si>
  <si>
    <t>CLM10273</t>
  </si>
  <si>
    <t>CLM10274</t>
  </si>
  <si>
    <t>CLM10275</t>
  </si>
  <si>
    <t>CLM10276</t>
  </si>
  <si>
    <t>CLM10277</t>
  </si>
  <si>
    <t>CLM10278</t>
  </si>
  <si>
    <t>CLM10279</t>
  </si>
  <si>
    <t>CLM10280</t>
  </si>
  <si>
    <t>CLM10281</t>
  </si>
  <si>
    <t>CLM10282</t>
  </si>
  <si>
    <t>CLM10283</t>
  </si>
  <si>
    <t>CLM10284</t>
  </si>
  <si>
    <t>CLM10285</t>
  </si>
  <si>
    <t>CLM10286</t>
  </si>
  <si>
    <t>CLM10287</t>
  </si>
  <si>
    <t>CLM10288</t>
  </si>
  <si>
    <t>CLM10289</t>
  </si>
  <si>
    <t>CLM10290</t>
  </si>
  <si>
    <t>CLM10291</t>
  </si>
  <si>
    <t>CLM10292</t>
  </si>
  <si>
    <t>CLM10293</t>
  </si>
  <si>
    <t>CLM10294</t>
  </si>
  <si>
    <t>CLM10295</t>
  </si>
  <si>
    <t>CLM10296</t>
  </si>
  <si>
    <t>CLM10297</t>
  </si>
  <si>
    <t>CLM10298</t>
  </si>
  <si>
    <t>CLM10299</t>
  </si>
  <si>
    <t>CLM10300</t>
  </si>
  <si>
    <t>CLM10301</t>
  </si>
  <si>
    <t>CLM10302</t>
  </si>
  <si>
    <t>CLM10303</t>
  </si>
  <si>
    <t>CLM10304</t>
  </si>
  <si>
    <t>CLM10305</t>
  </si>
  <si>
    <t>CLM10306</t>
  </si>
  <si>
    <t>CLM10307</t>
  </si>
  <si>
    <t>CLM10308</t>
  </si>
  <si>
    <t>CLM10309</t>
  </si>
  <si>
    <t>CLM10310</t>
  </si>
  <si>
    <t>CLM10311</t>
  </si>
  <si>
    <t>CLM10312</t>
  </si>
  <si>
    <t>CLM10313</t>
  </si>
  <si>
    <t>CLM10314</t>
  </si>
  <si>
    <t>CLM10315</t>
  </si>
  <si>
    <t>CLM10316</t>
  </si>
  <si>
    <t>CLM10317</t>
  </si>
  <si>
    <t>CLM10318</t>
  </si>
  <si>
    <t>CLM10319</t>
  </si>
  <si>
    <t>CLM10320</t>
  </si>
  <si>
    <t>CLM10321</t>
  </si>
  <si>
    <t>CLM10322</t>
  </si>
  <si>
    <t>CLM10323</t>
  </si>
  <si>
    <t>CLM10324</t>
  </si>
  <si>
    <t>CLM10325</t>
  </si>
  <si>
    <t>CLM10326</t>
  </si>
  <si>
    <t>CLM10327</t>
  </si>
  <si>
    <t>CLM10328</t>
  </si>
  <si>
    <t>CLM10329</t>
  </si>
  <si>
    <t>CLM10330</t>
  </si>
  <si>
    <t>CLM10331</t>
  </si>
  <si>
    <t>CLM10332</t>
  </si>
  <si>
    <t>CLM10333</t>
  </si>
  <si>
    <t>CLM10334</t>
  </si>
  <si>
    <t>CLM10335</t>
  </si>
  <si>
    <t>CLM10336</t>
  </si>
  <si>
    <t>CLM10337</t>
  </si>
  <si>
    <t>CLM10338</t>
  </si>
  <si>
    <t>CLM10339</t>
  </si>
  <si>
    <t>CLM10340</t>
  </si>
  <si>
    <t>CLM10341</t>
  </si>
  <si>
    <t>CLM10342</t>
  </si>
  <si>
    <t>CLM10343</t>
  </si>
  <si>
    <t>CLM10344</t>
  </si>
  <si>
    <t>CLM10345</t>
  </si>
  <si>
    <t>CLM10346</t>
  </si>
  <si>
    <t>CLM10347</t>
  </si>
  <si>
    <t>CLM10348</t>
  </si>
  <si>
    <t>CLM10349</t>
  </si>
  <si>
    <t>CLM10350</t>
  </si>
  <si>
    <t>CLM10351</t>
  </si>
  <si>
    <t>CLM10352</t>
  </si>
  <si>
    <t>CLM10353</t>
  </si>
  <si>
    <t>CLM10354</t>
  </si>
  <si>
    <t>CLM10355</t>
  </si>
  <si>
    <t>CLM10356</t>
  </si>
  <si>
    <t>CLM10357</t>
  </si>
  <si>
    <t>CLM10358</t>
  </si>
  <si>
    <t>CLM10359</t>
  </si>
  <si>
    <t>CLM10360</t>
  </si>
  <si>
    <t>CLM10361</t>
  </si>
  <si>
    <t>CLM10362</t>
  </si>
  <si>
    <t>CLM10363</t>
  </si>
  <si>
    <t>CLM10364</t>
  </si>
  <si>
    <t>CLM10365</t>
  </si>
  <si>
    <t>CLM10366</t>
  </si>
  <si>
    <t>CLM10367</t>
  </si>
  <si>
    <t>CLM10368</t>
  </si>
  <si>
    <t>CLM10369</t>
  </si>
  <si>
    <t>CLM10370</t>
  </si>
  <si>
    <t>CLM10371</t>
  </si>
  <si>
    <t>CLM10372</t>
  </si>
  <si>
    <t>CLM10373</t>
  </si>
  <si>
    <t>CLM10374</t>
  </si>
  <si>
    <t>CLM10375</t>
  </si>
  <si>
    <t>CLM10376</t>
  </si>
  <si>
    <t>CLM10377</t>
  </si>
  <si>
    <t>CLM10378</t>
  </si>
  <si>
    <t>CLM10379</t>
  </si>
  <si>
    <t>CLM10380</t>
  </si>
  <si>
    <t>CLM10381</t>
  </si>
  <si>
    <t>CLM10382</t>
  </si>
  <si>
    <t>CLM10383</t>
  </si>
  <si>
    <t>CLM10384</t>
  </si>
  <si>
    <t>CLM10385</t>
  </si>
  <si>
    <t>CLM10386</t>
  </si>
  <si>
    <t>CLM10387</t>
  </si>
  <si>
    <t>CLM10388</t>
  </si>
  <si>
    <t>CLM10389</t>
  </si>
  <si>
    <t>CLM10390</t>
  </si>
  <si>
    <t>CLM10391</t>
  </si>
  <si>
    <t>CLM10392</t>
  </si>
  <si>
    <t>CLM10393</t>
  </si>
  <si>
    <t>CLM10394</t>
  </si>
  <si>
    <t>CLM10395</t>
  </si>
  <si>
    <t>CLM10396</t>
  </si>
  <si>
    <t>CLM10397</t>
  </si>
  <si>
    <t>CLM10398</t>
  </si>
  <si>
    <t>CLM10399</t>
  </si>
  <si>
    <t>CLM10400</t>
  </si>
  <si>
    <t>CLM10401</t>
  </si>
  <si>
    <t>CLM10402</t>
  </si>
  <si>
    <t>CLM10403</t>
  </si>
  <si>
    <t>CLM10404</t>
  </si>
  <si>
    <t>CLM10405</t>
  </si>
  <si>
    <t>CLM10406</t>
  </si>
  <si>
    <t>CLM10407</t>
  </si>
  <si>
    <t>CLM10408</t>
  </si>
  <si>
    <t>CLM10409</t>
  </si>
  <si>
    <t>CLM10410</t>
  </si>
  <si>
    <t>CLM10411</t>
  </si>
  <si>
    <t>CLM10412</t>
  </si>
  <si>
    <t>CLM10413</t>
  </si>
  <si>
    <t>CLM10414</t>
  </si>
  <si>
    <t>CLM10415</t>
  </si>
  <si>
    <t>CLM10416</t>
  </si>
  <si>
    <t>CLM10417</t>
  </si>
  <si>
    <t>CLM10418</t>
  </si>
  <si>
    <t>CLM10419</t>
  </si>
  <si>
    <t>CLM10420</t>
  </si>
  <si>
    <t>CLM10421</t>
  </si>
  <si>
    <t>CLM10422</t>
  </si>
  <si>
    <t>CLM10423</t>
  </si>
  <si>
    <t>CLM10424</t>
  </si>
  <si>
    <t>CLM10425</t>
  </si>
  <si>
    <t>CLM10426</t>
  </si>
  <si>
    <t>CLM10427</t>
  </si>
  <si>
    <t>CLM10428</t>
  </si>
  <si>
    <t>CLM10429</t>
  </si>
  <si>
    <t>CLM10430</t>
  </si>
  <si>
    <t>CLM10431</t>
  </si>
  <si>
    <t>CLM10432</t>
  </si>
  <si>
    <t>CLM10433</t>
  </si>
  <si>
    <t>CLM10434</t>
  </si>
  <si>
    <t>CLM10435</t>
  </si>
  <si>
    <t>CLM10436</t>
  </si>
  <si>
    <t>CLM10437</t>
  </si>
  <si>
    <t>CLM10438</t>
  </si>
  <si>
    <t>CLM10439</t>
  </si>
  <si>
    <t>CLM10440</t>
  </si>
  <si>
    <t>CLM10441</t>
  </si>
  <si>
    <t>CLM10442</t>
  </si>
  <si>
    <t>CLM10443</t>
  </si>
  <si>
    <t>CLM10444</t>
  </si>
  <si>
    <t>CLM10445</t>
  </si>
  <si>
    <t>CLM10446</t>
  </si>
  <si>
    <t>CLM10447</t>
  </si>
  <si>
    <t>CLM10448</t>
  </si>
  <si>
    <t>CLM10449</t>
  </si>
  <si>
    <t>CLM10450</t>
  </si>
  <si>
    <t>CLM10451</t>
  </si>
  <si>
    <t>CLM10452</t>
  </si>
  <si>
    <t>CLM10453</t>
  </si>
  <si>
    <t>CLM10454</t>
  </si>
  <si>
    <t>CLM10455</t>
  </si>
  <si>
    <t>CLM10456</t>
  </si>
  <si>
    <t>CLM10457</t>
  </si>
  <si>
    <t>CLM10458</t>
  </si>
  <si>
    <t>CLM10459</t>
  </si>
  <si>
    <t>CLM10460</t>
  </si>
  <si>
    <t>CLM10461</t>
  </si>
  <si>
    <t>CLM10462</t>
  </si>
  <si>
    <t>CLM10463</t>
  </si>
  <si>
    <t>CLM10464</t>
  </si>
  <si>
    <t>CLM10465</t>
  </si>
  <si>
    <t>CLM10466</t>
  </si>
  <si>
    <t>CLM10467</t>
  </si>
  <si>
    <t>CLM10468</t>
  </si>
  <si>
    <t>CLM10469</t>
  </si>
  <si>
    <t>CLM10470</t>
  </si>
  <si>
    <t>CLM10471</t>
  </si>
  <si>
    <t>CLM10472</t>
  </si>
  <si>
    <t>CLM10473</t>
  </si>
  <si>
    <t>CLM10474</t>
  </si>
  <si>
    <t>CLM10475</t>
  </si>
  <si>
    <t>CLM10476</t>
  </si>
  <si>
    <t>CLM10477</t>
  </si>
  <si>
    <t>CLM10478</t>
  </si>
  <si>
    <t>CLM10479</t>
  </si>
  <si>
    <t>CLM10480</t>
  </si>
  <si>
    <t>CLM10481</t>
  </si>
  <si>
    <t>CLM10482</t>
  </si>
  <si>
    <t>CLM10483</t>
  </si>
  <si>
    <t>CLM10484</t>
  </si>
  <si>
    <t>CLM10485</t>
  </si>
  <si>
    <t>CLM10486</t>
  </si>
  <si>
    <t>CLM10487</t>
  </si>
  <si>
    <t>CLM10488</t>
  </si>
  <si>
    <t>CLM10489</t>
  </si>
  <si>
    <t>CLM10490</t>
  </si>
  <si>
    <t>CLM10491</t>
  </si>
  <si>
    <t>CLM10492</t>
  </si>
  <si>
    <t>CLM10493</t>
  </si>
  <si>
    <t>CLM10494</t>
  </si>
  <si>
    <t>CLM10495</t>
  </si>
  <si>
    <t>CLM10496</t>
  </si>
  <si>
    <t>CLM10497</t>
  </si>
  <si>
    <t>CLM10498</t>
  </si>
  <si>
    <t>CLM10499</t>
  </si>
  <si>
    <t>CLM10500</t>
  </si>
  <si>
    <t>CLM10501</t>
  </si>
  <si>
    <t>CLM10502</t>
  </si>
  <si>
    <t>CLM10503</t>
  </si>
  <si>
    <t>CLM10504</t>
  </si>
  <si>
    <t>CLM10505</t>
  </si>
  <si>
    <t>CLM10506</t>
  </si>
  <si>
    <t>CLM10507</t>
  </si>
  <si>
    <t>CLM10508</t>
  </si>
  <si>
    <t>CLM10509</t>
  </si>
  <si>
    <t>CLM10510</t>
  </si>
  <si>
    <t>CLM10511</t>
  </si>
  <si>
    <t>CLM10512</t>
  </si>
  <si>
    <t>CLM10513</t>
  </si>
  <si>
    <t>CLM10514</t>
  </si>
  <si>
    <t>CLM10515</t>
  </si>
  <si>
    <t>CLM10516</t>
  </si>
  <si>
    <t>CLM10517</t>
  </si>
  <si>
    <t>CLM10518</t>
  </si>
  <si>
    <t>CLM10519</t>
  </si>
  <si>
    <t>CLM10520</t>
  </si>
  <si>
    <t>CLM10521</t>
  </si>
  <si>
    <t>CLM10522</t>
  </si>
  <si>
    <t>CLM10523</t>
  </si>
  <si>
    <t>CLM10524</t>
  </si>
  <si>
    <t>CLM10525</t>
  </si>
  <si>
    <t>CLM10526</t>
  </si>
  <si>
    <t>CLM10527</t>
  </si>
  <si>
    <t>CLM10528</t>
  </si>
  <si>
    <t>CLM10529</t>
  </si>
  <si>
    <t>CLM10530</t>
  </si>
  <si>
    <t>CLM10531</t>
  </si>
  <si>
    <t>CLM10532</t>
  </si>
  <si>
    <t>CLM10533</t>
  </si>
  <si>
    <t>CLM10534</t>
  </si>
  <si>
    <t>CLM10535</t>
  </si>
  <si>
    <t>CLM10536</t>
  </si>
  <si>
    <t>CLM10537</t>
  </si>
  <si>
    <t>CLM10538</t>
  </si>
  <si>
    <t>CLM10539</t>
  </si>
  <si>
    <t>CLM10540</t>
  </si>
  <si>
    <t>CLM10541</t>
  </si>
  <si>
    <t>CLM10542</t>
  </si>
  <si>
    <t>CLM10543</t>
  </si>
  <si>
    <t>CLM10544</t>
  </si>
  <si>
    <t>CLM10545</t>
  </si>
  <si>
    <t>CLM10546</t>
  </si>
  <si>
    <t>CLM10547</t>
  </si>
  <si>
    <t>CLM10548</t>
  </si>
  <si>
    <t>CLM10549</t>
  </si>
  <si>
    <t>CLM10550</t>
  </si>
  <si>
    <t>CLM10551</t>
  </si>
  <si>
    <t>CLM10552</t>
  </si>
  <si>
    <t>CLM10553</t>
  </si>
  <si>
    <t>CLM10554</t>
  </si>
  <si>
    <t>CLM10555</t>
  </si>
  <si>
    <t>CLM10556</t>
  </si>
  <si>
    <t>CLM10557</t>
  </si>
  <si>
    <t>CLM10558</t>
  </si>
  <si>
    <t>CLM10559</t>
  </si>
  <si>
    <t>CLM10560</t>
  </si>
  <si>
    <t>CLM10561</t>
  </si>
  <si>
    <t>CLM10562</t>
  </si>
  <si>
    <t>CLM10563</t>
  </si>
  <si>
    <t>CLM10564</t>
  </si>
  <si>
    <t>CLM10565</t>
  </si>
  <si>
    <t>CLM10566</t>
  </si>
  <si>
    <t>CLM10567</t>
  </si>
  <si>
    <t>CLM10568</t>
  </si>
  <si>
    <t>CLM10569</t>
  </si>
  <si>
    <t>CLM10570</t>
  </si>
  <si>
    <t>CLM10571</t>
  </si>
  <si>
    <t>CLM10572</t>
  </si>
  <si>
    <t>CLM10573</t>
  </si>
  <si>
    <t>CLM10574</t>
  </si>
  <si>
    <t>CLM10575</t>
  </si>
  <si>
    <t>CLM10576</t>
  </si>
  <si>
    <t>CLM10577</t>
  </si>
  <si>
    <t>CLM10578</t>
  </si>
  <si>
    <t>CLM10579</t>
  </si>
  <si>
    <t>CLM10580</t>
  </si>
  <si>
    <t>CLM10581</t>
  </si>
  <si>
    <t>CLM10582</t>
  </si>
  <si>
    <t>CLM10583</t>
  </si>
  <si>
    <t>CLM10584</t>
  </si>
  <si>
    <t>CLM10585</t>
  </si>
  <si>
    <t>CLM10586</t>
  </si>
  <si>
    <t>CLM10587</t>
  </si>
  <si>
    <t>CLM10588</t>
  </si>
  <si>
    <t>CLM10589</t>
  </si>
  <si>
    <t>CLM10590</t>
  </si>
  <si>
    <t>CLM10591</t>
  </si>
  <si>
    <t>CLM10592</t>
  </si>
  <si>
    <t>CLM10593</t>
  </si>
  <si>
    <t>CLM10594</t>
  </si>
  <si>
    <t>CLM10595</t>
  </si>
  <si>
    <t>CLM10596</t>
  </si>
  <si>
    <t>CLM10597</t>
  </si>
  <si>
    <t>CLM10598</t>
  </si>
  <si>
    <t>CLM10599</t>
  </si>
  <si>
    <t>CLM10600</t>
  </si>
  <si>
    <t>CLM10601</t>
  </si>
  <si>
    <t>CLM10602</t>
  </si>
  <si>
    <t>CLM10603</t>
  </si>
  <si>
    <t>CLM10604</t>
  </si>
  <si>
    <t>CLM10605</t>
  </si>
  <si>
    <t>CLM10606</t>
  </si>
  <si>
    <t>CLM10607</t>
  </si>
  <si>
    <t>CLM10608</t>
  </si>
  <si>
    <t>CLM10609</t>
  </si>
  <si>
    <t>CLM10610</t>
  </si>
  <si>
    <t>CLM10611</t>
  </si>
  <si>
    <t>CLM10612</t>
  </si>
  <si>
    <t>CLM10613</t>
  </si>
  <si>
    <t>CLM10614</t>
  </si>
  <si>
    <t>CLM10615</t>
  </si>
  <si>
    <t>CLM10616</t>
  </si>
  <si>
    <t>CLM10617</t>
  </si>
  <si>
    <t>CLM10618</t>
  </si>
  <si>
    <t>CLM10619</t>
  </si>
  <si>
    <t>CLM10620</t>
  </si>
  <si>
    <t>CLM10621</t>
  </si>
  <si>
    <t>CLM10622</t>
  </si>
  <si>
    <t>CLM10623</t>
  </si>
  <si>
    <t>CLM10624</t>
  </si>
  <si>
    <t>CLM10625</t>
  </si>
  <si>
    <t>CLM10626</t>
  </si>
  <si>
    <t>CLM10627</t>
  </si>
  <si>
    <t>CLM10628</t>
  </si>
  <si>
    <t>CLM10629</t>
  </si>
  <si>
    <t>CLM10630</t>
  </si>
  <si>
    <t>CLM10631</t>
  </si>
  <si>
    <t>CLM10632</t>
  </si>
  <si>
    <t>CLM10633</t>
  </si>
  <si>
    <t>CLM10634</t>
  </si>
  <si>
    <t>CLM10635</t>
  </si>
  <si>
    <t>CLM10636</t>
  </si>
  <si>
    <t>CLM10637</t>
  </si>
  <si>
    <t>CLM10638</t>
  </si>
  <si>
    <t>CLM10639</t>
  </si>
  <si>
    <t>CLM10640</t>
  </si>
  <si>
    <t>CLM10641</t>
  </si>
  <si>
    <t>CLM10642</t>
  </si>
  <si>
    <t>CLM10643</t>
  </si>
  <si>
    <t>CLM10644</t>
  </si>
  <si>
    <t>CLM10645</t>
  </si>
  <si>
    <t>CLM10646</t>
  </si>
  <si>
    <t>CLM10647</t>
  </si>
  <si>
    <t>CLM10648</t>
  </si>
  <si>
    <t>CLM10649</t>
  </si>
  <si>
    <t>CLM10650</t>
  </si>
  <si>
    <t>CLM10651</t>
  </si>
  <si>
    <t>CLM10652</t>
  </si>
  <si>
    <t>CLM10653</t>
  </si>
  <si>
    <t>CLM10654</t>
  </si>
  <si>
    <t>CLM10655</t>
  </si>
  <si>
    <t>CLM10656</t>
  </si>
  <si>
    <t>CLM10657</t>
  </si>
  <si>
    <t>CLM10658</t>
  </si>
  <si>
    <t>CLM10659</t>
  </si>
  <si>
    <t>CLM10660</t>
  </si>
  <si>
    <t>CLM10661</t>
  </si>
  <si>
    <t>CLM10662</t>
  </si>
  <si>
    <t>CLM10663</t>
  </si>
  <si>
    <t>CLM10664</t>
  </si>
  <si>
    <t>CLM10665</t>
  </si>
  <si>
    <t>CLM10666</t>
  </si>
  <si>
    <t>CLM10667</t>
  </si>
  <si>
    <t>CLM10668</t>
  </si>
  <si>
    <t>CLM10669</t>
  </si>
  <si>
    <t>CLM10670</t>
  </si>
  <si>
    <t>CLM10671</t>
  </si>
  <si>
    <t>CLM10672</t>
  </si>
  <si>
    <t>CLM10673</t>
  </si>
  <si>
    <t>CLM10674</t>
  </si>
  <si>
    <t>CLM10675</t>
  </si>
  <si>
    <t>CLM10676</t>
  </si>
  <si>
    <t>CLM10677</t>
  </si>
  <si>
    <t>CLM10678</t>
  </si>
  <si>
    <t>CLM10679</t>
  </si>
  <si>
    <t>CLM10680</t>
  </si>
  <si>
    <t>CLM10681</t>
  </si>
  <si>
    <t>CLM10682</t>
  </si>
  <si>
    <t>CLM10683</t>
  </si>
  <si>
    <t>CLM10684</t>
  </si>
  <si>
    <t>CLM10685</t>
  </si>
  <si>
    <t>CLM10686</t>
  </si>
  <si>
    <t>CLM10687</t>
  </si>
  <si>
    <t>CLM10688</t>
  </si>
  <si>
    <t>CLM10689</t>
  </si>
  <si>
    <t>CLM10690</t>
  </si>
  <si>
    <t>CLM10691</t>
  </si>
  <si>
    <t>CLM10692</t>
  </si>
  <si>
    <t>CLM10693</t>
  </si>
  <si>
    <t>CLM10694</t>
  </si>
  <si>
    <t>CLM10695</t>
  </si>
  <si>
    <t>CLM10696</t>
  </si>
  <si>
    <t>CLM10697</t>
  </si>
  <si>
    <t>CLM10698</t>
  </si>
  <si>
    <t>CLM10699</t>
  </si>
  <si>
    <t>CLM10700</t>
  </si>
  <si>
    <t>CLM10701</t>
  </si>
  <si>
    <t>CLM10702</t>
  </si>
  <si>
    <t>CLM10703</t>
  </si>
  <si>
    <t>CLM10704</t>
  </si>
  <si>
    <t>CLM10705</t>
  </si>
  <si>
    <t>CLM10706</t>
  </si>
  <si>
    <t>CLM10707</t>
  </si>
  <si>
    <t>CLM10708</t>
  </si>
  <si>
    <t>CLM10709</t>
  </si>
  <si>
    <t>CLM10710</t>
  </si>
  <si>
    <t>CLM10711</t>
  </si>
  <si>
    <t>CLM10712</t>
  </si>
  <si>
    <t>CLM10713</t>
  </si>
  <si>
    <t>CLM10714</t>
  </si>
  <si>
    <t>CLM10715</t>
  </si>
  <si>
    <t>CLM10716</t>
  </si>
  <si>
    <t>CLM10717</t>
  </si>
  <si>
    <t>CLM10718</t>
  </si>
  <si>
    <t>CLM10719</t>
  </si>
  <si>
    <t>CLM10720</t>
  </si>
  <si>
    <t>CLM10721</t>
  </si>
  <si>
    <t>CLM10722</t>
  </si>
  <si>
    <t>CLM10723</t>
  </si>
  <si>
    <t>CLM10724</t>
  </si>
  <si>
    <t>CLM10725</t>
  </si>
  <si>
    <t>CLM10726</t>
  </si>
  <si>
    <t>CLM10727</t>
  </si>
  <si>
    <t>CLM10728</t>
  </si>
  <si>
    <t>CLM10729</t>
  </si>
  <si>
    <t>CLM10730</t>
  </si>
  <si>
    <t>CLM10731</t>
  </si>
  <si>
    <t>CLM10732</t>
  </si>
  <si>
    <t>CLM10733</t>
  </si>
  <si>
    <t>CLM10734</t>
  </si>
  <si>
    <t>CLM10735</t>
  </si>
  <si>
    <t>CLM10736</t>
  </si>
  <si>
    <t>CLM10737</t>
  </si>
  <si>
    <t>CLM10738</t>
  </si>
  <si>
    <t>CLM10739</t>
  </si>
  <si>
    <t>CLM10740</t>
  </si>
  <si>
    <t>CLM10741</t>
  </si>
  <si>
    <t>CLM10742</t>
  </si>
  <si>
    <t>CLM10743</t>
  </si>
  <si>
    <t>CLM10744</t>
  </si>
  <si>
    <t>CLM10745</t>
  </si>
  <si>
    <t>CLM10746</t>
  </si>
  <si>
    <t>CLM10747</t>
  </si>
  <si>
    <t>CLM10748</t>
  </si>
  <si>
    <t>CLM10749</t>
  </si>
  <si>
    <t>CLM10750</t>
  </si>
  <si>
    <t>CLM10751</t>
  </si>
  <si>
    <t>CLM10752</t>
  </si>
  <si>
    <t>CLM10753</t>
  </si>
  <si>
    <t>CLM10754</t>
  </si>
  <si>
    <t>CLM10755</t>
  </si>
  <si>
    <t>CLM10756</t>
  </si>
  <si>
    <t>CLM10757</t>
  </si>
  <si>
    <t>CLM10758</t>
  </si>
  <si>
    <t>CLM10759</t>
  </si>
  <si>
    <t>CLM10760</t>
  </si>
  <si>
    <t>CLM10761</t>
  </si>
  <si>
    <t>CLM10762</t>
  </si>
  <si>
    <t>CLM10763</t>
  </si>
  <si>
    <t>CLM10764</t>
  </si>
  <si>
    <t>CLM10765</t>
  </si>
  <si>
    <t>CLM10766</t>
  </si>
  <si>
    <t>CLM10767</t>
  </si>
  <si>
    <t>CLM10768</t>
  </si>
  <si>
    <t>CLM10769</t>
  </si>
  <si>
    <t>CLM10770</t>
  </si>
  <si>
    <t>CLM10771</t>
  </si>
  <si>
    <t>CLM10772</t>
  </si>
  <si>
    <t>CLM10773</t>
  </si>
  <si>
    <t>CLM10774</t>
  </si>
  <si>
    <t>CLM10775</t>
  </si>
  <si>
    <t>CLM10776</t>
  </si>
  <si>
    <t>CLM10777</t>
  </si>
  <si>
    <t>CLM10778</t>
  </si>
  <si>
    <t>CLM10779</t>
  </si>
  <si>
    <t>CLM10780</t>
  </si>
  <si>
    <t>CLM10781</t>
  </si>
  <si>
    <t>CLM10782</t>
  </si>
  <si>
    <t>CLM10783</t>
  </si>
  <si>
    <t>CLM10784</t>
  </si>
  <si>
    <t>CLM10785</t>
  </si>
  <si>
    <t>CLM10786</t>
  </si>
  <si>
    <t>CLM10787</t>
  </si>
  <si>
    <t>CLM10788</t>
  </si>
  <si>
    <t>CLM10789</t>
  </si>
  <si>
    <t>CLM10790</t>
  </si>
  <si>
    <t>CLM10791</t>
  </si>
  <si>
    <t>CLM10792</t>
  </si>
  <si>
    <t>CLM10793</t>
  </si>
  <si>
    <t>CLM10794</t>
  </si>
  <si>
    <t>CLM10795</t>
  </si>
  <si>
    <t>CLM10796</t>
  </si>
  <si>
    <t>CLM10797</t>
  </si>
  <si>
    <t>CLM10798</t>
  </si>
  <si>
    <t>CLM10799</t>
  </si>
  <si>
    <t>CLM10800</t>
  </si>
  <si>
    <t>CLM10801</t>
  </si>
  <si>
    <t>CLM10802</t>
  </si>
  <si>
    <t>CLM10803</t>
  </si>
  <si>
    <t>CLM10804</t>
  </si>
  <si>
    <t>CLM10805</t>
  </si>
  <si>
    <t>CLM10806</t>
  </si>
  <si>
    <t>CLM10807</t>
  </si>
  <si>
    <t>CLM10808</t>
  </si>
  <si>
    <t>CLM10809</t>
  </si>
  <si>
    <t>CLM10810</t>
  </si>
  <si>
    <t>CLM10811</t>
  </si>
  <si>
    <t>CLM10812</t>
  </si>
  <si>
    <t>CLM10813</t>
  </si>
  <si>
    <t>CLM10814</t>
  </si>
  <si>
    <t>CLM10815</t>
  </si>
  <si>
    <t>CLM10816</t>
  </si>
  <si>
    <t>CLM10817</t>
  </si>
  <si>
    <t>CLM10818</t>
  </si>
  <si>
    <t>CLM10819</t>
  </si>
  <si>
    <t>CLM10820</t>
  </si>
  <si>
    <t>CLM10821</t>
  </si>
  <si>
    <t>CLM10822</t>
  </si>
  <si>
    <t>CLM10823</t>
  </si>
  <si>
    <t>CLM10824</t>
  </si>
  <si>
    <t>CLM10825</t>
  </si>
  <si>
    <t>CLM10826</t>
  </si>
  <si>
    <t>CLM10827</t>
  </si>
  <si>
    <t>CLM10828</t>
  </si>
  <si>
    <t>CLM10829</t>
  </si>
  <si>
    <t>CLM10830</t>
  </si>
  <si>
    <t>CLM10831</t>
  </si>
  <si>
    <t>CLM10832</t>
  </si>
  <si>
    <t>CLM10833</t>
  </si>
  <si>
    <t>CLM10834</t>
  </si>
  <si>
    <t>CLM10835</t>
  </si>
  <si>
    <t>CLM10836</t>
  </si>
  <si>
    <t>CLM10837</t>
  </si>
  <si>
    <t>CLM10838</t>
  </si>
  <si>
    <t>CLM10839</t>
  </si>
  <si>
    <t>CLM10840</t>
  </si>
  <si>
    <t>CLM10841</t>
  </si>
  <si>
    <t>CLM10842</t>
  </si>
  <si>
    <t>CLM10843</t>
  </si>
  <si>
    <t>CLM10844</t>
  </si>
  <si>
    <t>CLM10845</t>
  </si>
  <si>
    <t>CLM10846</t>
  </si>
  <si>
    <t>CLM10847</t>
  </si>
  <si>
    <t>CLM10848</t>
  </si>
  <si>
    <t>CLM10849</t>
  </si>
  <si>
    <t>CLM10850</t>
  </si>
  <si>
    <t>CLM10851</t>
  </si>
  <si>
    <t>CLM10852</t>
  </si>
  <si>
    <t>CLM10853</t>
  </si>
  <si>
    <t>CLM10854</t>
  </si>
  <si>
    <t>CLM10855</t>
  </si>
  <si>
    <t>CLM10856</t>
  </si>
  <si>
    <t>CLM10857</t>
  </si>
  <si>
    <t>CLM10858</t>
  </si>
  <si>
    <t>CLM10859</t>
  </si>
  <si>
    <t>CLM10860</t>
  </si>
  <si>
    <t>CLM10861</t>
  </si>
  <si>
    <t>CLM10862</t>
  </si>
  <si>
    <t>CLM10863</t>
  </si>
  <si>
    <t>CLM10864</t>
  </si>
  <si>
    <t>CLM10865</t>
  </si>
  <si>
    <t>CLM10866</t>
  </si>
  <si>
    <t>CLM10867</t>
  </si>
  <si>
    <t>CLM10868</t>
  </si>
  <si>
    <t>CLM10869</t>
  </si>
  <si>
    <t>CLM10870</t>
  </si>
  <si>
    <t>CLM10871</t>
  </si>
  <si>
    <t>CLM10872</t>
  </si>
  <si>
    <t>CLM10873</t>
  </si>
  <si>
    <t>CLM10874</t>
  </si>
  <si>
    <t>CLM10875</t>
  </si>
  <si>
    <t>CLM10876</t>
  </si>
  <si>
    <t>CLM10877</t>
  </si>
  <si>
    <t>CLM10878</t>
  </si>
  <si>
    <t>CLM10879</t>
  </si>
  <si>
    <t>CLM10880</t>
  </si>
  <si>
    <t>CLM10881</t>
  </si>
  <si>
    <t>CLM10882</t>
  </si>
  <si>
    <t>CLM10883</t>
  </si>
  <si>
    <t>CLM10884</t>
  </si>
  <si>
    <t>CLM10885</t>
  </si>
  <si>
    <t>CLM10886</t>
  </si>
  <si>
    <t>CLM10887</t>
  </si>
  <si>
    <t>CLM10888</t>
  </si>
  <si>
    <t>CLM10889</t>
  </si>
  <si>
    <t>CLM10890</t>
  </si>
  <si>
    <t>CLM10891</t>
  </si>
  <si>
    <t>CLM10892</t>
  </si>
  <si>
    <t>CLM10893</t>
  </si>
  <si>
    <t>CLM10894</t>
  </si>
  <si>
    <t>CLM10895</t>
  </si>
  <si>
    <t>CLM10896</t>
  </si>
  <si>
    <t>CLM10897</t>
  </si>
  <si>
    <t>CLM10898</t>
  </si>
  <si>
    <t>CLM10899</t>
  </si>
  <si>
    <t>CLM10900</t>
  </si>
  <si>
    <t>CLM10901</t>
  </si>
  <si>
    <t>CLM10902</t>
  </si>
  <si>
    <t>CLM10903</t>
  </si>
  <si>
    <t>CLM10904</t>
  </si>
  <si>
    <t>CLM10905</t>
  </si>
  <si>
    <t>CLM10906</t>
  </si>
  <si>
    <t>CLM10907</t>
  </si>
  <si>
    <t>CLM10908</t>
  </si>
  <si>
    <t>CLM10909</t>
  </si>
  <si>
    <t>CLM10910</t>
  </si>
  <si>
    <t>CLM10911</t>
  </si>
  <si>
    <t>CLM10912</t>
  </si>
  <si>
    <t>CLM10913</t>
  </si>
  <si>
    <t>CLM10914</t>
  </si>
  <si>
    <t>CLM10915</t>
  </si>
  <si>
    <t>CLM10916</t>
  </si>
  <si>
    <t>CLM10917</t>
  </si>
  <si>
    <t>CLM10918</t>
  </si>
  <si>
    <t>CLM10919</t>
  </si>
  <si>
    <t>CLM10920</t>
  </si>
  <si>
    <t>CLM10921</t>
  </si>
  <si>
    <t>CLM10922</t>
  </si>
  <si>
    <t>CLM10923</t>
  </si>
  <si>
    <t>CLM10924</t>
  </si>
  <si>
    <t>CLM10925</t>
  </si>
  <si>
    <t>CLM10926</t>
  </si>
  <si>
    <t>CLM10927</t>
  </si>
  <si>
    <t>CLM10928</t>
  </si>
  <si>
    <t>CLM10929</t>
  </si>
  <si>
    <t>CLM10930</t>
  </si>
  <si>
    <t>CLM10931</t>
  </si>
  <si>
    <t>CLM10932</t>
  </si>
  <si>
    <t>CLM10933</t>
  </si>
  <si>
    <t>CLM10934</t>
  </si>
  <si>
    <t>CLM10935</t>
  </si>
  <si>
    <t>CLM10936</t>
  </si>
  <si>
    <t>CLM10937</t>
  </si>
  <si>
    <t>CLM10938</t>
  </si>
  <si>
    <t>CLM10939</t>
  </si>
  <si>
    <t>CLM10940</t>
  </si>
  <si>
    <t>CLM10941</t>
  </si>
  <si>
    <t>CLM10942</t>
  </si>
  <si>
    <t>CLM10943</t>
  </si>
  <si>
    <t>CLM10944</t>
  </si>
  <si>
    <t>CLM10945</t>
  </si>
  <si>
    <t>CLM10946</t>
  </si>
  <si>
    <t>CLM10947</t>
  </si>
  <si>
    <t>CLM10948</t>
  </si>
  <si>
    <t>CLM10949</t>
  </si>
  <si>
    <t>CLM10950</t>
  </si>
  <si>
    <t>CLM10951</t>
  </si>
  <si>
    <t>CLM10952</t>
  </si>
  <si>
    <t>CLM10953</t>
  </si>
  <si>
    <t>CLM10954</t>
  </si>
  <si>
    <t>CLM10955</t>
  </si>
  <si>
    <t>CLM10956</t>
  </si>
  <si>
    <t>CLM10957</t>
  </si>
  <si>
    <t>CLM10958</t>
  </si>
  <si>
    <t>CLM10959</t>
  </si>
  <si>
    <t>CLM10960</t>
  </si>
  <si>
    <t>CLM10961</t>
  </si>
  <si>
    <t>CLM10962</t>
  </si>
  <si>
    <t>CLM10963</t>
  </si>
  <si>
    <t>CLM10964</t>
  </si>
  <si>
    <t>CLM10965</t>
  </si>
  <si>
    <t>CLM10966</t>
  </si>
  <si>
    <t>CLM10967</t>
  </si>
  <si>
    <t>CLM10968</t>
  </si>
  <si>
    <t>CLM10969</t>
  </si>
  <si>
    <t>CLM10970</t>
  </si>
  <si>
    <t>CLM10971</t>
  </si>
  <si>
    <t>CLM10972</t>
  </si>
  <si>
    <t>CLM10973</t>
  </si>
  <si>
    <t>CLM10974</t>
  </si>
  <si>
    <t>CLM10975</t>
  </si>
  <si>
    <t>CLM10976</t>
  </si>
  <si>
    <t>CLM10977</t>
  </si>
  <si>
    <t>CLM10978</t>
  </si>
  <si>
    <t>CLM10979</t>
  </si>
  <si>
    <t>CLM10980</t>
  </si>
  <si>
    <t>CLM10981</t>
  </si>
  <si>
    <t>CLM10982</t>
  </si>
  <si>
    <t>CLM10983</t>
  </si>
  <si>
    <t>CLM10984</t>
  </si>
  <si>
    <t>CLM10985</t>
  </si>
  <si>
    <t>CLM10986</t>
  </si>
  <si>
    <t>CLM10987</t>
  </si>
  <si>
    <t>CLM10988</t>
  </si>
  <si>
    <t>CLM10989</t>
  </si>
  <si>
    <t>CLM10990</t>
  </si>
  <si>
    <t>CLM10991</t>
  </si>
  <si>
    <t>CLM10992</t>
  </si>
  <si>
    <t>CLM10993</t>
  </si>
  <si>
    <t>CLM10994</t>
  </si>
  <si>
    <t>CLM10995</t>
  </si>
  <si>
    <t>CLM10996</t>
  </si>
  <si>
    <t>CLM10997</t>
  </si>
  <si>
    <t>CLM10998</t>
  </si>
  <si>
    <t>CLM10999</t>
  </si>
  <si>
    <t>CLM11000</t>
  </si>
  <si>
    <t>CLM11001</t>
  </si>
  <si>
    <t>CLM11002</t>
  </si>
  <si>
    <t>CLM11003</t>
  </si>
  <si>
    <t>CLM11004</t>
  </si>
  <si>
    <t>CLM11005</t>
  </si>
  <si>
    <t>CLM11006</t>
  </si>
  <si>
    <t>CLM11007</t>
  </si>
  <si>
    <t>CLM11008</t>
  </si>
  <si>
    <t>CLM11009</t>
  </si>
  <si>
    <t>CLM11010</t>
  </si>
  <si>
    <t>CLM11011</t>
  </si>
  <si>
    <t>CLM11012</t>
  </si>
  <si>
    <t>CLM11013</t>
  </si>
  <si>
    <t>CLM11014</t>
  </si>
  <si>
    <t>CLM11015</t>
  </si>
  <si>
    <t>CLM11016</t>
  </si>
  <si>
    <t>CLM11017</t>
  </si>
  <si>
    <t>CLM11018</t>
  </si>
  <si>
    <t>CLM11019</t>
  </si>
  <si>
    <t>CLM11020</t>
  </si>
  <si>
    <t>CLM11021</t>
  </si>
  <si>
    <t>CLM11022</t>
  </si>
  <si>
    <t>CLM11023</t>
  </si>
  <si>
    <t>CLM11024</t>
  </si>
  <si>
    <t>CLM11025</t>
  </si>
  <si>
    <t>CLM11026</t>
  </si>
  <si>
    <t>CLM11027</t>
  </si>
  <si>
    <t>CLM11028</t>
  </si>
  <si>
    <t>CLM11029</t>
  </si>
  <si>
    <t>CLM11030</t>
  </si>
  <si>
    <t>CLM11031</t>
  </si>
  <si>
    <t>CLM11032</t>
  </si>
  <si>
    <t>CLM11033</t>
  </si>
  <si>
    <t>CLM11034</t>
  </si>
  <si>
    <t>CLM11035</t>
  </si>
  <si>
    <t>CLM11036</t>
  </si>
  <si>
    <t>CLM11037</t>
  </si>
  <si>
    <t>CLM11038</t>
  </si>
  <si>
    <t>CLM11039</t>
  </si>
  <si>
    <t>CLM11040</t>
  </si>
  <si>
    <t>CLM11041</t>
  </si>
  <si>
    <t>CLM11042</t>
  </si>
  <si>
    <t>CLM11043</t>
  </si>
  <si>
    <t>CLM11044</t>
  </si>
  <si>
    <t>CLM11045</t>
  </si>
  <si>
    <t>CLM11046</t>
  </si>
  <si>
    <t>CLM11047</t>
  </si>
  <si>
    <t>CLM11048</t>
  </si>
  <si>
    <t>CLM11049</t>
  </si>
  <si>
    <t>CLM11050</t>
  </si>
  <si>
    <t>CLM11051</t>
  </si>
  <si>
    <t>CLM11052</t>
  </si>
  <si>
    <t>CLM11053</t>
  </si>
  <si>
    <t>CLM11054</t>
  </si>
  <si>
    <t>CLM11055</t>
  </si>
  <si>
    <t>CLM11056</t>
  </si>
  <si>
    <t>CLM11057</t>
  </si>
  <si>
    <t>CLM11058</t>
  </si>
  <si>
    <t>CLM11059</t>
  </si>
  <si>
    <t>CLM11060</t>
  </si>
  <si>
    <t>CLM11061</t>
  </si>
  <si>
    <t>CLM11062</t>
  </si>
  <si>
    <t>CLM11063</t>
  </si>
  <si>
    <t>CLM11064</t>
  </si>
  <si>
    <t>CLM11065</t>
  </si>
  <si>
    <t>CLM11066</t>
  </si>
  <si>
    <t>CLM11067</t>
  </si>
  <si>
    <t>CLM11068</t>
  </si>
  <si>
    <t>CLM11069</t>
  </si>
  <si>
    <t>CLM11070</t>
  </si>
  <si>
    <t>CLM11071</t>
  </si>
  <si>
    <t>CLM11072</t>
  </si>
  <si>
    <t>CLM11073</t>
  </si>
  <si>
    <t>CLM11074</t>
  </si>
  <si>
    <t>CLM11075</t>
  </si>
  <si>
    <t>CLM11076</t>
  </si>
  <si>
    <t>CLM11077</t>
  </si>
  <si>
    <t>CLM11078</t>
  </si>
  <si>
    <t>CLM11079</t>
  </si>
  <si>
    <t>CLM11080</t>
  </si>
  <si>
    <t>CLM11081</t>
  </si>
  <si>
    <t>CLM11082</t>
  </si>
  <si>
    <t>CLM11083</t>
  </si>
  <si>
    <t>CLM11084</t>
  </si>
  <si>
    <t>CLM11085</t>
  </si>
  <si>
    <t>CLM11086</t>
  </si>
  <si>
    <t>CLM11087</t>
  </si>
  <si>
    <t>CLM11088</t>
  </si>
  <si>
    <t>CLM11089</t>
  </si>
  <si>
    <t>CLM11090</t>
  </si>
  <si>
    <t>CLM11091</t>
  </si>
  <si>
    <t>CLM11092</t>
  </si>
  <si>
    <t>CLM11093</t>
  </si>
  <si>
    <t>CLM11094</t>
  </si>
  <si>
    <t>CLM11095</t>
  </si>
  <si>
    <t>CLM11096</t>
  </si>
  <si>
    <t>CLM11097</t>
  </si>
  <si>
    <t>CLM11098</t>
  </si>
  <si>
    <t>CLM11099</t>
  </si>
  <si>
    <t>CLM11100</t>
  </si>
  <si>
    <t>CLM11101</t>
  </si>
  <si>
    <t>CLM11102</t>
  </si>
  <si>
    <t>CLM11103</t>
  </si>
  <si>
    <t>CLM11104</t>
  </si>
  <si>
    <t>CLM11105</t>
  </si>
  <si>
    <t>CLM11106</t>
  </si>
  <si>
    <t>CLM11107</t>
  </si>
  <si>
    <t>CLM11108</t>
  </si>
  <si>
    <t>CLM11109</t>
  </si>
  <si>
    <t>CLM11110</t>
  </si>
  <si>
    <t>CLM11111</t>
  </si>
  <si>
    <t>CLM11112</t>
  </si>
  <si>
    <t>CLM11113</t>
  </si>
  <si>
    <t>CLM11114</t>
  </si>
  <si>
    <t>CLM11115</t>
  </si>
  <si>
    <t>CLM11116</t>
  </si>
  <si>
    <t>CLM11117</t>
  </si>
  <si>
    <t>CLM11118</t>
  </si>
  <si>
    <t>CLM11119</t>
  </si>
  <si>
    <t>CLM11120</t>
  </si>
  <si>
    <t>CLM11121</t>
  </si>
  <si>
    <t>CLM11122</t>
  </si>
  <si>
    <t>CLM11123</t>
  </si>
  <si>
    <t>CLM11124</t>
  </si>
  <si>
    <t>CLM11125</t>
  </si>
  <si>
    <t>CLM11126</t>
  </si>
  <si>
    <t>CLM11127</t>
  </si>
  <si>
    <t>CLM11128</t>
  </si>
  <si>
    <t>CLM11129</t>
  </si>
  <si>
    <t>CLM11130</t>
  </si>
  <si>
    <t>CLM11131</t>
  </si>
  <si>
    <t>CLM11132</t>
  </si>
  <si>
    <t>CLM11133</t>
  </si>
  <si>
    <t>CLM11134</t>
  </si>
  <si>
    <t>CLM11135</t>
  </si>
  <si>
    <t>CLM11136</t>
  </si>
  <si>
    <t>CLM11137</t>
  </si>
  <si>
    <t>CLM11138</t>
  </si>
  <si>
    <t>CLM11139</t>
  </si>
  <si>
    <t>CLM11140</t>
  </si>
  <si>
    <t>CLM11141</t>
  </si>
  <si>
    <t>CLM11142</t>
  </si>
  <si>
    <t>CLM11143</t>
  </si>
  <si>
    <t>CLM11144</t>
  </si>
  <si>
    <t>CLM11145</t>
  </si>
  <si>
    <t>CLM11146</t>
  </si>
  <si>
    <t>CLM11147</t>
  </si>
  <si>
    <t>CLM11148</t>
  </si>
  <si>
    <t>CLM11149</t>
  </si>
  <si>
    <t>CLM11150</t>
  </si>
  <si>
    <t>CLM11151</t>
  </si>
  <si>
    <t>CLM11152</t>
  </si>
  <si>
    <t>CLM11153</t>
  </si>
  <si>
    <t>CLM11154</t>
  </si>
  <si>
    <t>CLM11155</t>
  </si>
  <si>
    <t>CLM11156</t>
  </si>
  <si>
    <t>CLM11157</t>
  </si>
  <si>
    <t>CLM11158</t>
  </si>
  <si>
    <t>CLM11159</t>
  </si>
  <si>
    <t>CLM11160</t>
  </si>
  <si>
    <t>CLM11161</t>
  </si>
  <si>
    <t>CLM11162</t>
  </si>
  <si>
    <t>CLM11163</t>
  </si>
  <si>
    <t>CLM11164</t>
  </si>
  <si>
    <t>CLM11165</t>
  </si>
  <si>
    <t>CLM11166</t>
  </si>
  <si>
    <t>CLM11167</t>
  </si>
  <si>
    <t>CLM11168</t>
  </si>
  <si>
    <t>CLM11169</t>
  </si>
  <si>
    <t>CLM11170</t>
  </si>
  <si>
    <t>CLM11171</t>
  </si>
  <si>
    <t>CLM11172</t>
  </si>
  <si>
    <t>CLM11173</t>
  </si>
  <si>
    <t>CLM11174</t>
  </si>
  <si>
    <t>CLM11175</t>
  </si>
  <si>
    <t>CLM11176</t>
  </si>
  <si>
    <t>CLM11177</t>
  </si>
  <si>
    <t>CLM11178</t>
  </si>
  <si>
    <t>CLM11179</t>
  </si>
  <si>
    <t>CLM11180</t>
  </si>
  <si>
    <t>CLM11181</t>
  </si>
  <si>
    <t>CLM11182</t>
  </si>
  <si>
    <t>CLM11183</t>
  </si>
  <si>
    <t>CLM11184</t>
  </si>
  <si>
    <t>CLM11185</t>
  </si>
  <si>
    <t>CLM11186</t>
  </si>
  <si>
    <t>CLM11187</t>
  </si>
  <si>
    <t>CLM11188</t>
  </si>
  <si>
    <t>CLM11189</t>
  </si>
  <si>
    <t>CLM11190</t>
  </si>
  <si>
    <t>CLM11191</t>
  </si>
  <si>
    <t>CLM11192</t>
  </si>
  <si>
    <t>CLM11193</t>
  </si>
  <si>
    <t>CLM11194</t>
  </si>
  <si>
    <t>CLM11195</t>
  </si>
  <si>
    <t>CLM11196</t>
  </si>
  <si>
    <t>CLM11197</t>
  </si>
  <si>
    <t>CLM11198</t>
  </si>
  <si>
    <t>CLM11199</t>
  </si>
  <si>
    <t>Row Labels</t>
  </si>
  <si>
    <t>Grand Total</t>
  </si>
  <si>
    <t>Count of Claim_ID</t>
  </si>
  <si>
    <t>Sum of Approved_Amount</t>
  </si>
  <si>
    <t>Average of Processing_Days</t>
  </si>
  <si>
    <t>Insurance Type vs Claims</t>
  </si>
  <si>
    <t>Sum of Claim_Amount</t>
  </si>
  <si>
    <t>Total Claim Amount BY hospitals</t>
  </si>
  <si>
    <t>Approval Rate</t>
  </si>
  <si>
    <t>Avg Processing Days</t>
  </si>
  <si>
    <t>TOTAL CLAIMS</t>
  </si>
  <si>
    <t>TOATAL CLAIM AMOUNT</t>
  </si>
  <si>
    <t>CLAIMS PER CITY</t>
  </si>
  <si>
    <t>Claims amount per Month</t>
  </si>
  <si>
    <t>AVG Procesing days</t>
  </si>
  <si>
    <t>Claims status</t>
  </si>
  <si>
    <t xml:space="preserve"> </t>
  </si>
  <si>
    <t>Total Claim Amount per 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</si>
</sst>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quot;₹&quot;\ #,##0.00"/>
    <numFmt numFmtId="166" formatCode="&quot;₹&quot;\ #,##0"/>
    <numFmt numFmtId="172" formatCode="_ * #,##0_ ;_ * \-#,##0_ ;_ * &quot;-&quot;??_ ;_ @_ "/>
    <numFmt numFmtId="173" formatCode="_ [$₹-4009]\ * #,##0.00_ ;_ [$₹-4009]\ * \-#,##0.00_ ;_ [$₹-4009]\ * &quot;-&quot;??_ ;_ @_ "/>
  </numFmts>
  <fonts count="8" x14ac:knownFonts="1">
    <font>
      <sz val="11"/>
      <color theme="1"/>
      <name val="Trebuchet MS"/>
      <family val="2"/>
      <scheme val="minor"/>
    </font>
    <font>
      <sz val="11"/>
      <color theme="1"/>
      <name val="Trebuchet MS"/>
      <family val="2"/>
      <scheme val="minor"/>
    </font>
    <font>
      <b/>
      <sz val="12"/>
      <color theme="1"/>
      <name val="Trebuchet MS"/>
      <family val="2"/>
      <scheme val="minor"/>
    </font>
    <font>
      <b/>
      <sz val="12"/>
      <name val="Calibri"/>
      <family val="2"/>
    </font>
    <font>
      <b/>
      <sz val="14"/>
      <color theme="1"/>
      <name val="Trebuchet MS"/>
      <family val="2"/>
      <scheme val="minor"/>
    </font>
    <font>
      <b/>
      <sz val="20"/>
      <color theme="1"/>
      <name val="Trebuchet MS"/>
      <family val="2"/>
      <scheme val="minor"/>
    </font>
    <font>
      <sz val="20"/>
      <color theme="1"/>
      <name val="Trebuchet MS"/>
      <family val="2"/>
      <scheme val="minor"/>
    </font>
    <font>
      <b/>
      <sz val="18"/>
      <color theme="1"/>
      <name val="Trebuchet MS"/>
      <family val="2"/>
      <scheme val="minor"/>
    </font>
  </fonts>
  <fills count="4">
    <fill>
      <patternFill patternType="none"/>
    </fill>
    <fill>
      <patternFill patternType="gray125"/>
    </fill>
    <fill>
      <patternFill patternType="solid">
        <fgColor theme="2" tint="-9.9978637043366805E-2"/>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23">
    <xf numFmtId="0" fontId="0" fillId="0" borderId="0" xfId="0"/>
    <xf numFmtId="0" fontId="2" fillId="0" borderId="0" xfId="0" applyFont="1"/>
    <xf numFmtId="14" fontId="3" fillId="0" borderId="1" xfId="0" applyNumberFormat="1" applyFont="1" applyBorder="1" applyAlignment="1">
      <alignment horizontal="center" vertical="top"/>
    </xf>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4" fillId="0" borderId="0" xfId="0" applyFont="1"/>
    <xf numFmtId="166" fontId="0" fillId="0" borderId="0" xfId="0" applyNumberFormat="1"/>
    <xf numFmtId="1" fontId="0" fillId="0" borderId="0" xfId="0" applyNumberFormat="1"/>
    <xf numFmtId="2" fontId="0" fillId="0" borderId="0" xfId="0" applyNumberFormat="1"/>
    <xf numFmtId="0" fontId="5" fillId="0" borderId="0" xfId="0" applyFont="1" applyAlignment="1">
      <alignment horizontal="center" vertical="center" wrapText="1"/>
    </xf>
    <xf numFmtId="0" fontId="6" fillId="0" borderId="0" xfId="0" applyFont="1" applyAlignment="1">
      <alignment vertical="center" wrapText="1"/>
    </xf>
    <xf numFmtId="172" fontId="6" fillId="0" borderId="0" xfId="1" applyNumberFormat="1" applyFont="1" applyAlignment="1">
      <alignment vertical="center" wrapText="1"/>
    </xf>
    <xf numFmtId="0" fontId="6" fillId="0" borderId="0" xfId="0" applyFont="1"/>
    <xf numFmtId="0" fontId="2" fillId="0" borderId="0" xfId="0" applyNumberFormat="1" applyFont="1" applyAlignment="1">
      <alignment horizontal="left"/>
    </xf>
    <xf numFmtId="0" fontId="0" fillId="0" borderId="0" xfId="0" applyNumberFormat="1" applyAlignment="1">
      <alignment horizontal="left"/>
    </xf>
    <xf numFmtId="173" fontId="6" fillId="0" borderId="0" xfId="0" applyNumberFormat="1" applyFont="1"/>
    <xf numFmtId="9" fontId="6" fillId="0" borderId="0" xfId="2" applyFont="1"/>
    <xf numFmtId="1" fontId="6" fillId="0" borderId="0" xfId="0" applyNumberFormat="1" applyFont="1"/>
    <xf numFmtId="0" fontId="7" fillId="2" borderId="0" xfId="0" applyFont="1" applyFill="1"/>
    <xf numFmtId="173" fontId="7" fillId="2" borderId="0" xfId="0" applyNumberFormat="1" applyFont="1" applyFill="1"/>
    <xf numFmtId="0" fontId="7" fillId="3" borderId="0" xfId="0" applyFont="1" applyFill="1"/>
  </cellXfs>
  <cellStyles count="3">
    <cellStyle name="Comma" xfId="1" builtinId="3"/>
    <cellStyle name="Normal" xfId="0" builtinId="0"/>
    <cellStyle name="Percent" xfId="2" builtinId="5"/>
  </cellStyles>
  <dxfs count="2">
    <dxf>
      <numFmt numFmtId="166" formatCode="&quot;₹&quot;\ #,##0"/>
    </dxf>
    <dxf>
      <numFmt numFmtId="166" formatCode="&quot;₹&quot;\ #,##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[healthcare_claims_dashboard.xlsx]Pivot tables!PivotTable11</c:name>
    <c:fmtId val="2"/>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sz="1600">
                <a:solidFill>
                  <a:srgbClr val="FF0000"/>
                </a:solidFill>
              </a:rPr>
              <a:t>Claims Status </a:t>
            </a:r>
            <a:endParaRPr lang="en-US" sz="1600">
              <a:solidFill>
                <a:srgbClr val="FF0000"/>
              </a:solidFill>
            </a:endParaRPr>
          </a:p>
        </c:rich>
      </c:tx>
      <c:layout>
        <c:manualLayout>
          <c:xMode val="edge"/>
          <c:yMode val="edge"/>
          <c:x val="0.2853097684172321"/>
          <c:y val="4.796146181972954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2"/>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2"/>
          </a:solidFill>
          <a:ln>
            <a:noFill/>
          </a:ln>
          <a:effectLst>
            <a:outerShdw blurRad="317500" algn="ctr" rotWithShape="0">
              <a:prstClr val="black">
                <a:alpha val="25000"/>
              </a:prstClr>
            </a:outerShdw>
          </a:effectLst>
        </c:spPr>
      </c:pivotFmt>
      <c:pivotFmt>
        <c:idx val="6"/>
        <c:spPr>
          <a:solidFill>
            <a:schemeClr val="accent4"/>
          </a:solidFill>
          <a:ln>
            <a:noFill/>
          </a:ln>
          <a:effectLst>
            <a:outerShdw blurRad="317500" algn="ctr" rotWithShape="0">
              <a:prstClr val="black">
                <a:alpha val="25000"/>
              </a:prstClr>
            </a:outerShdw>
          </a:effectLst>
        </c:spPr>
      </c:pivotFmt>
    </c:pivotFmts>
    <c:plotArea>
      <c:layout/>
      <c:pieChart>
        <c:varyColors val="1"/>
        <c:ser>
          <c:idx val="0"/>
          <c:order val="0"/>
          <c:tx>
            <c:strRef>
              <c:f>'Pivot tables'!$B$3</c:f>
              <c:strCache>
                <c:ptCount val="1"/>
                <c:pt idx="0">
                  <c:v>Total</c:v>
                </c:pt>
              </c:strCache>
            </c:strRef>
          </c:tx>
          <c:dPt>
            <c:idx val="0"/>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BEA-4C4C-8220-B513D547A1CF}"/>
              </c:ext>
            </c:extLst>
          </c:dPt>
          <c:dPt>
            <c:idx val="1"/>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FBEA-4C4C-8220-B513D547A1C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tables'!$A$4:$A$6</c:f>
              <c:strCache>
                <c:ptCount val="2"/>
                <c:pt idx="0">
                  <c:v>Approved</c:v>
                </c:pt>
                <c:pt idx="1">
                  <c:v>Rejected</c:v>
                </c:pt>
              </c:strCache>
            </c:strRef>
          </c:cat>
          <c:val>
            <c:numRef>
              <c:f>'Pivot tables'!$B$4:$B$6</c:f>
              <c:numCache>
                <c:formatCode>General</c:formatCode>
                <c:ptCount val="2"/>
                <c:pt idx="0">
                  <c:v>611</c:v>
                </c:pt>
                <c:pt idx="1">
                  <c:v>161</c:v>
                </c:pt>
              </c:numCache>
            </c:numRef>
          </c:val>
          <c:extLst>
            <c:ext xmlns:c16="http://schemas.microsoft.com/office/drawing/2014/chart" uri="{C3380CC4-5D6E-409C-BE32-E72D297353CC}">
              <c16:uniqueId val="{00000004-FBEA-4C4C-8220-B513D547A1CF}"/>
            </c:ext>
          </c:extLst>
        </c:ser>
        <c:dLbls>
          <c:dLblPos val="inEnd"/>
          <c:showLegendKey val="0"/>
          <c:showVal val="0"/>
          <c:showCatName val="1"/>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[healthcare_claims_dashboard.xlsx]Pivot tables!PivotTable14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rgbClr val="FF0000"/>
                </a:solidFill>
              </a:rPr>
              <a:t>Claims - City</a:t>
            </a:r>
            <a:endParaRPr lang="en-US" sz="1600"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tables'!$B$21</c:f>
              <c:strCache>
                <c:ptCount val="1"/>
                <c:pt idx="0">
                  <c:v>Total</c:v>
                </c:pt>
              </c:strCache>
            </c:strRef>
          </c:tx>
          <c:spPr>
            <a:solidFill>
              <a:schemeClr val="accent3"/>
            </a:solidFill>
            <a:ln>
              <a:noFill/>
            </a:ln>
            <a:effectLst/>
          </c:spPr>
          <c:invertIfNegative val="0"/>
          <c:cat>
            <c:strRef>
              <c:f>'Pivot tables'!$A$22:$A$27</c:f>
              <c:strCache>
                <c:ptCount val="5"/>
                <c:pt idx="0">
                  <c:v>Bangalore</c:v>
                </c:pt>
                <c:pt idx="1">
                  <c:v>Chennai</c:v>
                </c:pt>
                <c:pt idx="2">
                  <c:v>Delhi</c:v>
                </c:pt>
                <c:pt idx="3">
                  <c:v>Hyderabad</c:v>
                </c:pt>
                <c:pt idx="4">
                  <c:v>Pune</c:v>
                </c:pt>
              </c:strCache>
            </c:strRef>
          </c:cat>
          <c:val>
            <c:numRef>
              <c:f>'Pivot tables'!$B$22:$B$27</c:f>
              <c:numCache>
                <c:formatCode>General</c:formatCode>
                <c:ptCount val="5"/>
                <c:pt idx="0">
                  <c:v>126</c:v>
                </c:pt>
                <c:pt idx="1">
                  <c:v>128</c:v>
                </c:pt>
                <c:pt idx="2">
                  <c:v>128</c:v>
                </c:pt>
                <c:pt idx="3">
                  <c:v>251</c:v>
                </c:pt>
                <c:pt idx="4">
                  <c:v>139</c:v>
                </c:pt>
              </c:numCache>
            </c:numRef>
          </c:val>
          <c:extLst>
            <c:ext xmlns:c16="http://schemas.microsoft.com/office/drawing/2014/chart" uri="{C3380CC4-5D6E-409C-BE32-E72D297353CC}">
              <c16:uniqueId val="{00000000-6DA4-4EA6-8B54-0072CCFE0610}"/>
            </c:ext>
          </c:extLst>
        </c:ser>
        <c:dLbls>
          <c:showLegendKey val="0"/>
          <c:showVal val="0"/>
          <c:showCatName val="0"/>
          <c:showSerName val="0"/>
          <c:showPercent val="0"/>
          <c:showBubbleSize val="0"/>
        </c:dLbls>
        <c:gapWidth val="182"/>
        <c:axId val="351775952"/>
        <c:axId val="266528304"/>
      </c:barChart>
      <c:catAx>
        <c:axId val="351775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528304"/>
        <c:crosses val="autoZero"/>
        <c:auto val="1"/>
        <c:lblAlgn val="ctr"/>
        <c:lblOffset val="100"/>
        <c:noMultiLvlLbl val="0"/>
      </c:catAx>
      <c:valAx>
        <c:axId val="2665283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775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[healthcare_claims_dashboard.xlsx]Pivot tables!PivotTable23</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600">
                <a:solidFill>
                  <a:srgbClr val="FF0000"/>
                </a:solidFill>
              </a:rPr>
              <a:t>Claims-Insurance Type </a:t>
            </a:r>
            <a:endParaRPr lang="en-US" sz="1600">
              <a:solidFill>
                <a:srgbClr val="FF0000"/>
              </a:solidFill>
            </a:endParaRP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3"/>
            </a:solidFill>
            <a:miter lim="800000"/>
          </a:ln>
          <a:effectLst>
            <a:glow rad="63500">
              <a:schemeClr val="accent3">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48041157432008"/>
          <c:y val="0.31627760706740926"/>
          <c:w val="0.60031496062992129"/>
          <c:h val="0.39117486076435565"/>
        </c:manualLayout>
      </c:layout>
      <c:barChart>
        <c:barDir val="col"/>
        <c:grouping val="clustered"/>
        <c:varyColors val="0"/>
        <c:ser>
          <c:idx val="0"/>
          <c:order val="0"/>
          <c:tx>
            <c:strRef>
              <c:f>'Pivot tables'!$I$7</c:f>
              <c:strCache>
                <c:ptCount val="1"/>
                <c:pt idx="0">
                  <c:v>Total</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'Pivot tables'!$H$8:$H$10</c:f>
              <c:strCache>
                <c:ptCount val="2"/>
                <c:pt idx="0">
                  <c:v>Government</c:v>
                </c:pt>
                <c:pt idx="1">
                  <c:v>Private</c:v>
                </c:pt>
              </c:strCache>
            </c:strRef>
          </c:cat>
          <c:val>
            <c:numRef>
              <c:f>'Pivot tables'!$I$8:$I$10</c:f>
              <c:numCache>
                <c:formatCode>General</c:formatCode>
                <c:ptCount val="2"/>
                <c:pt idx="0">
                  <c:v>378</c:v>
                </c:pt>
                <c:pt idx="1">
                  <c:v>394</c:v>
                </c:pt>
              </c:numCache>
            </c:numRef>
          </c:val>
          <c:extLst>
            <c:ext xmlns:c16="http://schemas.microsoft.com/office/drawing/2014/chart" uri="{C3380CC4-5D6E-409C-BE32-E72D297353CC}">
              <c16:uniqueId val="{00000000-EAB7-407A-B1F1-BA6DDF6A3585}"/>
            </c:ext>
          </c:extLst>
        </c:ser>
        <c:dLbls>
          <c:showLegendKey val="0"/>
          <c:showVal val="0"/>
          <c:showCatName val="0"/>
          <c:showSerName val="0"/>
          <c:showPercent val="0"/>
          <c:showBubbleSize val="0"/>
        </c:dLbls>
        <c:gapWidth val="315"/>
        <c:overlap val="-40"/>
        <c:axId val="1052290048"/>
        <c:axId val="1052289216"/>
      </c:barChart>
      <c:catAx>
        <c:axId val="105229004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52289216"/>
        <c:crosses val="autoZero"/>
        <c:auto val="1"/>
        <c:lblAlgn val="ctr"/>
        <c:lblOffset val="100"/>
        <c:noMultiLvlLbl val="0"/>
      </c:catAx>
      <c:valAx>
        <c:axId val="105228921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52290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[healthcare_claims_dashboard.xlsx]Pivot tables!PivotTable22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rgbClr val="FF0000"/>
                </a:solidFill>
              </a:rPr>
              <a:t>Claims Per Month</a:t>
            </a:r>
            <a:endParaRPr lang="en-US" sz="1600"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tables'!$F$14</c:f>
              <c:strCache>
                <c:ptCount val="1"/>
                <c:pt idx="0">
                  <c:v>Total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tables'!$E$15:$E$24</c:f>
              <c:strCache>
                <c:ptCount val="9"/>
                <c:pt idx="0">
                  <c:v>Jan</c:v>
                </c:pt>
                <c:pt idx="1">
                  <c:v>Feb</c:v>
                </c:pt>
                <c:pt idx="2">
                  <c:v>Mar</c:v>
                </c:pt>
                <c:pt idx="3">
                  <c:v>Apr</c:v>
                </c:pt>
                <c:pt idx="4">
                  <c:v>May</c:v>
                </c:pt>
                <c:pt idx="5">
                  <c:v>Jun</c:v>
                </c:pt>
                <c:pt idx="6">
                  <c:v>Jul</c:v>
                </c:pt>
                <c:pt idx="7">
                  <c:v>Aug</c:v>
                </c:pt>
                <c:pt idx="8">
                  <c:v>Sep</c:v>
                </c:pt>
              </c:strCache>
            </c:strRef>
          </c:cat>
          <c:val>
            <c:numRef>
              <c:f>'Pivot tables'!$F$15:$F$24</c:f>
              <c:numCache>
                <c:formatCode>"₹"\ #,##0</c:formatCode>
                <c:ptCount val="9"/>
                <c:pt idx="0">
                  <c:v>2784532</c:v>
                </c:pt>
                <c:pt idx="1">
                  <c:v>2826164</c:v>
                </c:pt>
                <c:pt idx="2">
                  <c:v>2243091</c:v>
                </c:pt>
                <c:pt idx="3">
                  <c:v>1752545</c:v>
                </c:pt>
                <c:pt idx="4">
                  <c:v>1858016</c:v>
                </c:pt>
                <c:pt idx="5">
                  <c:v>1603506</c:v>
                </c:pt>
                <c:pt idx="6">
                  <c:v>2807491</c:v>
                </c:pt>
                <c:pt idx="7">
                  <c:v>2440605</c:v>
                </c:pt>
                <c:pt idx="8">
                  <c:v>2073676</c:v>
                </c:pt>
              </c:numCache>
            </c:numRef>
          </c:val>
          <c:smooth val="0"/>
          <c:extLst>
            <c:ext xmlns:c16="http://schemas.microsoft.com/office/drawing/2014/chart" uri="{C3380CC4-5D6E-409C-BE32-E72D297353CC}">
              <c16:uniqueId val="{00000000-6305-4208-87CD-CA4E4AEA26F9}"/>
            </c:ext>
          </c:extLst>
        </c:ser>
        <c:dLbls>
          <c:showLegendKey val="0"/>
          <c:showVal val="0"/>
          <c:showCatName val="0"/>
          <c:showSerName val="0"/>
          <c:showPercent val="0"/>
          <c:showBubbleSize val="0"/>
        </c:dLbls>
        <c:marker val="1"/>
        <c:smooth val="0"/>
        <c:axId val="1052977008"/>
        <c:axId val="1052975760"/>
      </c:lineChart>
      <c:catAx>
        <c:axId val="1052977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975760"/>
        <c:crosses val="autoZero"/>
        <c:auto val="1"/>
        <c:lblAlgn val="ctr"/>
        <c:lblOffset val="100"/>
        <c:noMultiLvlLbl val="0"/>
      </c:catAx>
      <c:valAx>
        <c:axId val="10529757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977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alpha val="96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3">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25400</xdr:rowOff>
    </xdr:from>
    <xdr:to>
      <xdr:col>5</xdr:col>
      <xdr:colOff>603250</xdr:colOff>
      <xdr:row>4</xdr:row>
      <xdr:rowOff>209550</xdr:rowOff>
    </xdr:to>
    <xdr:sp macro="" textlink="">
      <xdr:nvSpPr>
        <xdr:cNvPr id="2" name="Rectangle 1">
          <a:extLst>
            <a:ext uri="{FF2B5EF4-FFF2-40B4-BE49-F238E27FC236}">
              <a16:creationId xmlns:a16="http://schemas.microsoft.com/office/drawing/2014/main" id="{50199336-CE4B-4DDE-B56C-1F48F3A5AF02}"/>
            </a:ext>
          </a:extLst>
        </xdr:cNvPr>
        <xdr:cNvSpPr/>
      </xdr:nvSpPr>
      <xdr:spPr>
        <a:xfrm>
          <a:off x="0" y="25400"/>
          <a:ext cx="12211050" cy="1479550"/>
        </a:xfrm>
        <a:prstGeom prst="rect">
          <a:avLst/>
        </a:prstGeom>
        <a:solidFill>
          <a:srgbClr val="002060"/>
        </a:solidFill>
        <a:ln>
          <a:solidFill>
            <a:srgbClr val="7030A0"/>
          </a:solidFill>
        </a:ln>
        <a:effectLst>
          <a:glow rad="63500">
            <a:schemeClr val="accent2">
              <a:satMod val="175000"/>
              <a:alpha val="40000"/>
            </a:schemeClr>
          </a:glow>
          <a:outerShdw blurRad="50800" dist="38100" dir="2700000" algn="tl" rotWithShape="0">
            <a:prstClr val="black">
              <a:alpha val="40000"/>
            </a:prstClr>
          </a:outerShdw>
        </a:effectLst>
      </xdr:spPr>
      <xdr:style>
        <a:lnRef idx="2">
          <a:schemeClr val="dk1">
            <a:shade val="50000"/>
          </a:schemeClr>
        </a:lnRef>
        <a:fillRef idx="1">
          <a:schemeClr val="dk1"/>
        </a:fillRef>
        <a:effectRef idx="0">
          <a:schemeClr val="dk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sz="3600" b="1">
              <a:ln w="22225">
                <a:solidFill>
                  <a:schemeClr val="accent2"/>
                </a:solidFill>
                <a:prstDash val="solid"/>
              </a:ln>
              <a:solidFill>
                <a:schemeClr val="accent2">
                  <a:lumMod val="40000"/>
                  <a:lumOff val="60000"/>
                </a:schemeClr>
              </a:solidFill>
              <a:effectLst>
                <a:glow rad="228600">
                  <a:schemeClr val="accent2">
                    <a:satMod val="175000"/>
                    <a:alpha val="40000"/>
                  </a:schemeClr>
                </a:glow>
              </a:effectLst>
            </a:rPr>
            <a:t>Healthcare</a:t>
          </a:r>
          <a:r>
            <a:rPr lang="en-IN" sz="3600" b="1" baseline="0">
              <a:ln w="22225">
                <a:solidFill>
                  <a:schemeClr val="accent2"/>
                </a:solidFill>
                <a:prstDash val="solid"/>
              </a:ln>
              <a:solidFill>
                <a:schemeClr val="accent2">
                  <a:lumMod val="40000"/>
                  <a:lumOff val="60000"/>
                </a:schemeClr>
              </a:solidFill>
              <a:effectLst>
                <a:glow rad="228600">
                  <a:schemeClr val="accent2">
                    <a:satMod val="175000"/>
                    <a:alpha val="40000"/>
                  </a:schemeClr>
                </a:glow>
              </a:effectLst>
            </a:rPr>
            <a:t> </a:t>
          </a:r>
          <a:r>
            <a:rPr lang="en-IN" sz="3600" b="1">
              <a:ln w="22225">
                <a:solidFill>
                  <a:schemeClr val="accent2"/>
                </a:solidFill>
                <a:prstDash val="solid"/>
              </a:ln>
              <a:solidFill>
                <a:schemeClr val="accent2">
                  <a:lumMod val="40000"/>
                  <a:lumOff val="60000"/>
                </a:schemeClr>
              </a:solidFill>
              <a:effectLst>
                <a:glow rad="228600">
                  <a:schemeClr val="accent2">
                    <a:satMod val="175000"/>
                    <a:alpha val="40000"/>
                  </a:schemeClr>
                </a:glow>
              </a:effectLst>
            </a:rPr>
            <a:t>Insurance Claims Data Analysis</a:t>
          </a:r>
        </a:p>
      </xdr:txBody>
    </xdr:sp>
    <xdr:clientData/>
  </xdr:twoCellAnchor>
  <xdr:twoCellAnchor>
    <xdr:from>
      <xdr:col>1</xdr:col>
      <xdr:colOff>1606550</xdr:colOff>
      <xdr:row>7</xdr:row>
      <xdr:rowOff>279400</xdr:rowOff>
    </xdr:from>
    <xdr:to>
      <xdr:col>5</xdr:col>
      <xdr:colOff>654050</xdr:colOff>
      <xdr:row>19</xdr:row>
      <xdr:rowOff>114300</xdr:rowOff>
    </xdr:to>
    <xdr:graphicFrame macro="">
      <xdr:nvGraphicFramePr>
        <xdr:cNvPr id="4" name="Chart 3">
          <a:extLst>
            <a:ext uri="{FF2B5EF4-FFF2-40B4-BE49-F238E27FC236}">
              <a16:creationId xmlns:a16="http://schemas.microsoft.com/office/drawing/2014/main" id="{65309C13-018A-41F4-B5A4-814596B288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165100</xdr:colOff>
      <xdr:row>19</xdr:row>
      <xdr:rowOff>158750</xdr:rowOff>
    </xdr:from>
    <xdr:to>
      <xdr:col>2</xdr:col>
      <xdr:colOff>1879600</xdr:colOff>
      <xdr:row>35</xdr:row>
      <xdr:rowOff>12700</xdr:rowOff>
    </xdr:to>
    <xdr:graphicFrame macro="">
      <xdr:nvGraphicFramePr>
        <xdr:cNvPr id="5" name="Chart 4">
          <a:extLst>
            <a:ext uri="{FF2B5EF4-FFF2-40B4-BE49-F238E27FC236}">
              <a16:creationId xmlns:a16="http://schemas.microsoft.com/office/drawing/2014/main" id="{ACDB2CE6-1E53-4B45-A4E5-79D588EC0F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1930400</xdr:colOff>
      <xdr:row>19</xdr:row>
      <xdr:rowOff>146050</xdr:rowOff>
    </xdr:from>
    <xdr:to>
      <xdr:col>6</xdr:col>
      <xdr:colOff>0</xdr:colOff>
      <xdr:row>35</xdr:row>
      <xdr:rowOff>6350</xdr:rowOff>
    </xdr:to>
    <xdr:graphicFrame macro="">
      <xdr:nvGraphicFramePr>
        <xdr:cNvPr id="6" name="Chart 5">
          <a:extLst>
            <a:ext uri="{FF2B5EF4-FFF2-40B4-BE49-F238E27FC236}">
              <a16:creationId xmlns:a16="http://schemas.microsoft.com/office/drawing/2014/main" id="{7397BCF4-6DF4-4E7A-864F-F47CCE5433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152400</xdr:colOff>
      <xdr:row>35</xdr:row>
      <xdr:rowOff>57150</xdr:rowOff>
    </xdr:from>
    <xdr:to>
      <xdr:col>5</xdr:col>
      <xdr:colOff>622300</xdr:colOff>
      <xdr:row>46</xdr:row>
      <xdr:rowOff>177800</xdr:rowOff>
    </xdr:to>
    <xdr:graphicFrame macro="">
      <xdr:nvGraphicFramePr>
        <xdr:cNvPr id="7" name="Chart 6">
          <a:extLst>
            <a:ext uri="{FF2B5EF4-FFF2-40B4-BE49-F238E27FC236}">
              <a16:creationId xmlns:a16="http://schemas.microsoft.com/office/drawing/2014/main" id="{55BA7BF0-7EE2-4E3B-B80E-F3E3FCEBEF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12700</xdr:colOff>
      <xdr:row>28</xdr:row>
      <xdr:rowOff>114300</xdr:rowOff>
    </xdr:from>
    <xdr:to>
      <xdr:col>1</xdr:col>
      <xdr:colOff>120650</xdr:colOff>
      <xdr:row>46</xdr:row>
      <xdr:rowOff>177800</xdr:rowOff>
    </xdr:to>
    <mc:AlternateContent xmlns:mc="http://schemas.openxmlformats.org/markup-compatibility/2006">
      <mc:Choice xmlns:a14="http://schemas.microsoft.com/office/drawing/2010/main" Requires="a14">
        <xdr:graphicFrame macro="">
          <xdr:nvGraphicFramePr>
            <xdr:cNvPr id="8" name="City">
              <a:extLst>
                <a:ext uri="{FF2B5EF4-FFF2-40B4-BE49-F238E27FC236}">
                  <a16:creationId xmlns:a16="http://schemas.microsoft.com/office/drawing/2014/main" id="{F6CBE3AC-1E11-4CA0-9D41-03E8F6D961AA}"/>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2700" y="6813550"/>
              <a:ext cx="2886075" cy="349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xdr:row>
      <xdr:rowOff>298450</xdr:rowOff>
    </xdr:from>
    <xdr:to>
      <xdr:col>1</xdr:col>
      <xdr:colOff>1549400</xdr:colOff>
      <xdr:row>14</xdr:row>
      <xdr:rowOff>57150</xdr:rowOff>
    </xdr:to>
    <mc:AlternateContent xmlns:mc="http://schemas.openxmlformats.org/markup-compatibility/2006">
      <mc:Choice xmlns:tsle="http://schemas.microsoft.com/office/drawing/2012/timeslicer" Requires="tsle">
        <xdr:graphicFrame macro="">
          <xdr:nvGraphicFramePr>
            <xdr:cNvPr id="9" name="Claim_Date">
              <a:extLst>
                <a:ext uri="{FF2B5EF4-FFF2-40B4-BE49-F238E27FC236}">
                  <a16:creationId xmlns:a16="http://schemas.microsoft.com/office/drawing/2014/main" id="{ECA1ED52-D74F-47B5-A9BB-63545025B6D0}"/>
                </a:ext>
              </a:extLst>
            </xdr:cNvPr>
            <xdr:cNvGraphicFramePr/>
          </xdr:nvGraphicFramePr>
          <xdr:xfrm>
            <a:off x="0" y="0"/>
            <a:ext cx="0" cy="0"/>
          </xdr:xfrm>
          <a:graphic>
            <a:graphicData uri="http://schemas.microsoft.com/office/drawing/2012/timeslicer">
              <tsle:timeslicer xmlns:tsle="http://schemas.microsoft.com/office/drawing/2012/timeslicer" name="Claim_Date"/>
            </a:graphicData>
          </a:graphic>
        </xdr:graphicFrame>
      </mc:Choice>
      <mc:Fallback>
        <xdr:sp macro="" textlink="">
          <xdr:nvSpPr>
            <xdr:cNvPr id="0" name=""/>
            <xdr:cNvSpPr>
              <a:spLocks noTextEdit="1"/>
            </xdr:cNvSpPr>
          </xdr:nvSpPr>
          <xdr:spPr>
            <a:xfrm>
              <a:off x="0" y="2489200"/>
              <a:ext cx="4327525" cy="16002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12700</xdr:colOff>
      <xdr:row>19</xdr:row>
      <xdr:rowOff>146051</xdr:rowOff>
    </xdr:from>
    <xdr:to>
      <xdr:col>1</xdr:col>
      <xdr:colOff>127000</xdr:colOff>
      <xdr:row>28</xdr:row>
      <xdr:rowOff>44451</xdr:rowOff>
    </xdr:to>
    <mc:AlternateContent xmlns:mc="http://schemas.openxmlformats.org/markup-compatibility/2006">
      <mc:Choice xmlns:a14="http://schemas.microsoft.com/office/drawing/2010/main" Requires="a14">
        <xdr:graphicFrame macro="">
          <xdr:nvGraphicFramePr>
            <xdr:cNvPr id="10" name="Claim_Status">
              <a:extLst>
                <a:ext uri="{FF2B5EF4-FFF2-40B4-BE49-F238E27FC236}">
                  <a16:creationId xmlns:a16="http://schemas.microsoft.com/office/drawing/2014/main" id="{20778C30-A896-4A60-9CCE-9CA902FCFEC8}"/>
                </a:ext>
              </a:extLst>
            </xdr:cNvPr>
            <xdr:cNvGraphicFramePr/>
          </xdr:nvGraphicFramePr>
          <xdr:xfrm>
            <a:off x="0" y="0"/>
            <a:ext cx="0" cy="0"/>
          </xdr:xfrm>
          <a:graphic>
            <a:graphicData uri="http://schemas.microsoft.com/office/drawing/2010/slicer">
              <sle:slicer xmlns:sle="http://schemas.microsoft.com/office/drawing/2010/slicer" name="Claim_Status"/>
            </a:graphicData>
          </a:graphic>
        </xdr:graphicFrame>
      </mc:Choice>
      <mc:Fallback>
        <xdr:sp macro="" textlink="">
          <xdr:nvSpPr>
            <xdr:cNvPr id="0" name=""/>
            <xdr:cNvSpPr>
              <a:spLocks noTextEdit="1"/>
            </xdr:cNvSpPr>
          </xdr:nvSpPr>
          <xdr:spPr>
            <a:xfrm>
              <a:off x="12700" y="5130801"/>
              <a:ext cx="2892425" cy="1612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63500</xdr:rowOff>
    </xdr:from>
    <xdr:to>
      <xdr:col>1</xdr:col>
      <xdr:colOff>1555750</xdr:colOff>
      <xdr:row>19</xdr:row>
      <xdr:rowOff>120649</xdr:rowOff>
    </xdr:to>
    <mc:AlternateContent xmlns:mc="http://schemas.openxmlformats.org/markup-compatibility/2006">
      <mc:Choice xmlns:a14="http://schemas.microsoft.com/office/drawing/2010/main" Requires="a14">
        <xdr:graphicFrame macro="">
          <xdr:nvGraphicFramePr>
            <xdr:cNvPr id="11" name="Insurance_Type">
              <a:extLst>
                <a:ext uri="{FF2B5EF4-FFF2-40B4-BE49-F238E27FC236}">
                  <a16:creationId xmlns:a16="http://schemas.microsoft.com/office/drawing/2014/main" id="{542B8907-ED1A-4BAC-B11E-E40EF6B43889}"/>
                </a:ext>
              </a:extLst>
            </xdr:cNvPr>
            <xdr:cNvGraphicFramePr/>
          </xdr:nvGraphicFramePr>
          <xdr:xfrm>
            <a:off x="0" y="0"/>
            <a:ext cx="0" cy="0"/>
          </xdr:xfrm>
          <a:graphic>
            <a:graphicData uri="http://schemas.microsoft.com/office/drawing/2010/slicer">
              <sle:slicer xmlns:sle="http://schemas.microsoft.com/office/drawing/2010/slicer" name="Insurance_Type"/>
            </a:graphicData>
          </a:graphic>
        </xdr:graphicFrame>
      </mc:Choice>
      <mc:Fallback>
        <xdr:sp macro="" textlink="">
          <xdr:nvSpPr>
            <xdr:cNvPr id="0" name=""/>
            <xdr:cNvSpPr>
              <a:spLocks noTextEdit="1"/>
            </xdr:cNvSpPr>
          </xdr:nvSpPr>
          <xdr:spPr>
            <a:xfrm>
              <a:off x="0" y="4095750"/>
              <a:ext cx="4333875" cy="10096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NKA" refreshedDate="46092.458282754633" createdVersion="7" refreshedVersion="7" minRefreshableVersion="3" recordCount="1200" xr:uid="{CAE2ABC9-20A0-4064-80BB-B38C40C54CA2}">
  <cacheSource type="worksheet">
    <worksheetSource ref="A1:M1201" sheet="DATA"/>
  </cacheSource>
  <cacheFields count="15">
    <cacheField name="Claim_ID" numFmtId="0">
      <sharedItems count="1200">
        <s v="CLM10000"/>
        <s v="CLM10001"/>
        <s v="CLM10002"/>
        <s v="CLM10003"/>
        <s v="CLM10004"/>
        <s v="CLM10005"/>
        <s v="CLM10006"/>
        <s v="CLM10007"/>
        <s v="CLM10008"/>
        <s v="CLM10009"/>
        <s v="CLM10010"/>
        <s v="CLM10011"/>
        <s v="CLM10012"/>
        <s v="CLM10013"/>
        <s v="CLM10014"/>
        <s v="CLM10015"/>
        <s v="CLM10016"/>
        <s v="CLM10017"/>
        <s v="CLM10018"/>
        <s v="CLM10019"/>
        <s v="CLM10020"/>
        <s v="CLM10021"/>
        <s v="CLM10022"/>
        <s v="CLM10023"/>
        <s v="CLM10024"/>
        <s v="CLM10025"/>
        <s v="CLM10026"/>
        <s v="CLM10027"/>
        <s v="CLM10028"/>
        <s v="CLM10029"/>
        <s v="CLM10030"/>
        <s v="CLM10031"/>
        <s v="CLM10032"/>
        <s v="CLM10033"/>
        <s v="CLM10034"/>
        <s v="CLM10035"/>
        <s v="CLM10036"/>
        <s v="CLM10037"/>
        <s v="CLM10038"/>
        <s v="CLM10039"/>
        <s v="CLM10040"/>
        <s v="CLM10041"/>
        <s v="CLM10042"/>
        <s v="CLM10043"/>
        <s v="CLM10044"/>
        <s v="CLM10045"/>
        <s v="CLM10046"/>
        <s v="CLM10047"/>
        <s v="CLM10048"/>
        <s v="CLM10049"/>
        <s v="CLM10050"/>
        <s v="CLM10051"/>
        <s v="CLM10052"/>
        <s v="CLM10053"/>
        <s v="CLM10054"/>
        <s v="CLM10055"/>
        <s v="CLM10056"/>
        <s v="CLM10057"/>
        <s v="CLM10058"/>
        <s v="CLM10059"/>
        <s v="CLM10060"/>
        <s v="CLM10061"/>
        <s v="CLM10062"/>
        <s v="CLM10063"/>
        <s v="CLM10064"/>
        <s v="CLM10065"/>
        <s v="CLM10066"/>
        <s v="CLM10067"/>
        <s v="CLM10068"/>
        <s v="CLM10069"/>
        <s v="CLM10070"/>
        <s v="CLM10071"/>
        <s v="CLM10072"/>
        <s v="CLM10073"/>
        <s v="CLM10074"/>
        <s v="CLM10075"/>
        <s v="CLM10076"/>
        <s v="CLM10077"/>
        <s v="CLM10078"/>
        <s v="CLM10079"/>
        <s v="CLM10080"/>
        <s v="CLM10081"/>
        <s v="CLM10082"/>
        <s v="CLM10083"/>
        <s v="CLM10084"/>
        <s v="CLM10085"/>
        <s v="CLM10086"/>
        <s v="CLM10087"/>
        <s v="CLM10088"/>
        <s v="CLM10089"/>
        <s v="CLM10090"/>
        <s v="CLM10091"/>
        <s v="CLM10092"/>
        <s v="CLM10093"/>
        <s v="CLM10094"/>
        <s v="CLM10095"/>
        <s v="CLM10096"/>
        <s v="CLM10097"/>
        <s v="CLM10098"/>
        <s v="CLM10099"/>
        <s v="CLM10100"/>
        <s v="CLM10101"/>
        <s v="CLM10102"/>
        <s v="CLM10103"/>
        <s v="CLM10104"/>
        <s v="CLM10105"/>
        <s v="CLM10106"/>
        <s v="CLM10107"/>
        <s v="CLM10108"/>
        <s v="CLM10109"/>
        <s v="CLM10110"/>
        <s v="CLM10111"/>
        <s v="CLM10112"/>
        <s v="CLM10113"/>
        <s v="CLM10114"/>
        <s v="CLM10115"/>
        <s v="CLM10116"/>
        <s v="CLM10117"/>
        <s v="CLM10118"/>
        <s v="CLM10119"/>
        <s v="CLM10120"/>
        <s v="CLM10121"/>
        <s v="CLM10122"/>
        <s v="CLM10123"/>
        <s v="CLM10124"/>
        <s v="CLM10125"/>
        <s v="CLM10126"/>
        <s v="CLM10127"/>
        <s v="CLM10128"/>
        <s v="CLM10129"/>
        <s v="CLM10130"/>
        <s v="CLM10131"/>
        <s v="CLM10132"/>
        <s v="CLM10133"/>
        <s v="CLM10134"/>
        <s v="CLM10135"/>
        <s v="CLM10136"/>
        <s v="CLM10137"/>
        <s v="CLM10138"/>
        <s v="CLM10139"/>
        <s v="CLM10140"/>
        <s v="CLM10141"/>
        <s v="CLM10142"/>
        <s v="CLM10143"/>
        <s v="CLM10144"/>
        <s v="CLM10145"/>
        <s v="CLM10146"/>
        <s v="CLM10147"/>
        <s v="CLM10148"/>
        <s v="CLM10149"/>
        <s v="CLM10150"/>
        <s v="CLM10151"/>
        <s v="CLM10152"/>
        <s v="CLM10153"/>
        <s v="CLM10154"/>
        <s v="CLM10155"/>
        <s v="CLM10156"/>
        <s v="CLM10157"/>
        <s v="CLM10158"/>
        <s v="CLM10159"/>
        <s v="CLM10160"/>
        <s v="CLM10161"/>
        <s v="CLM10162"/>
        <s v="CLM10163"/>
        <s v="CLM10164"/>
        <s v="CLM10165"/>
        <s v="CLM10166"/>
        <s v="CLM10167"/>
        <s v="CLM10168"/>
        <s v="CLM10169"/>
        <s v="CLM10170"/>
        <s v="CLM10171"/>
        <s v="CLM10172"/>
        <s v="CLM10173"/>
        <s v="CLM10174"/>
        <s v="CLM10175"/>
        <s v="CLM10176"/>
        <s v="CLM10177"/>
        <s v="CLM10178"/>
        <s v="CLM10179"/>
        <s v="CLM10180"/>
        <s v="CLM10181"/>
        <s v="CLM10182"/>
        <s v="CLM10183"/>
        <s v="CLM10184"/>
        <s v="CLM10185"/>
        <s v="CLM10186"/>
        <s v="CLM10187"/>
        <s v="CLM10188"/>
        <s v="CLM10189"/>
        <s v="CLM10190"/>
        <s v="CLM10191"/>
        <s v="CLM10192"/>
        <s v="CLM10193"/>
        <s v="CLM10194"/>
        <s v="CLM10195"/>
        <s v="CLM10196"/>
        <s v="CLM10197"/>
        <s v="CLM10198"/>
        <s v="CLM10199"/>
        <s v="CLM10200"/>
        <s v="CLM10201"/>
        <s v="CLM10202"/>
        <s v="CLM10203"/>
        <s v="CLM10204"/>
        <s v="CLM10205"/>
        <s v="CLM10206"/>
        <s v="CLM10207"/>
        <s v="CLM10208"/>
        <s v="CLM10209"/>
        <s v="CLM10210"/>
        <s v="CLM10211"/>
        <s v="CLM10212"/>
        <s v="CLM10213"/>
        <s v="CLM10214"/>
        <s v="CLM10215"/>
        <s v="CLM10216"/>
        <s v="CLM10217"/>
        <s v="CLM10218"/>
        <s v="CLM10219"/>
        <s v="CLM10220"/>
        <s v="CLM10221"/>
        <s v="CLM10222"/>
        <s v="CLM10223"/>
        <s v="CLM10224"/>
        <s v="CLM10225"/>
        <s v="CLM10226"/>
        <s v="CLM10227"/>
        <s v="CLM10228"/>
        <s v="CLM10229"/>
        <s v="CLM10230"/>
        <s v="CLM10231"/>
        <s v="CLM10232"/>
        <s v="CLM10233"/>
        <s v="CLM10234"/>
        <s v="CLM10235"/>
        <s v="CLM10236"/>
        <s v="CLM10237"/>
        <s v="CLM10238"/>
        <s v="CLM10239"/>
        <s v="CLM10240"/>
        <s v="CLM10241"/>
        <s v="CLM10242"/>
        <s v="CLM10243"/>
        <s v="CLM10244"/>
        <s v="CLM10245"/>
        <s v="CLM10246"/>
        <s v="CLM10247"/>
        <s v="CLM10248"/>
        <s v="CLM10249"/>
        <s v="CLM10250"/>
        <s v="CLM10251"/>
        <s v="CLM10252"/>
        <s v="CLM10253"/>
        <s v="CLM10254"/>
        <s v="CLM10255"/>
        <s v="CLM10256"/>
        <s v="CLM10257"/>
        <s v="CLM10258"/>
        <s v="CLM10259"/>
        <s v="CLM10260"/>
        <s v="CLM10261"/>
        <s v="CLM10262"/>
        <s v="CLM10263"/>
        <s v="CLM10264"/>
        <s v="CLM10265"/>
        <s v="CLM10266"/>
        <s v="CLM10267"/>
        <s v="CLM10268"/>
        <s v="CLM10269"/>
        <s v="CLM10270"/>
        <s v="CLM10271"/>
        <s v="CLM10272"/>
        <s v="CLM10273"/>
        <s v="CLM10274"/>
        <s v="CLM10275"/>
        <s v="CLM10276"/>
        <s v="CLM10277"/>
        <s v="CLM10278"/>
        <s v="CLM10279"/>
        <s v="CLM10280"/>
        <s v="CLM10281"/>
        <s v="CLM10282"/>
        <s v="CLM10283"/>
        <s v="CLM10284"/>
        <s v="CLM10285"/>
        <s v="CLM10286"/>
        <s v="CLM10287"/>
        <s v="CLM10288"/>
        <s v="CLM10289"/>
        <s v="CLM10290"/>
        <s v="CLM10291"/>
        <s v="CLM10292"/>
        <s v="CLM10293"/>
        <s v="CLM10294"/>
        <s v="CLM10295"/>
        <s v="CLM10296"/>
        <s v="CLM10297"/>
        <s v="CLM10298"/>
        <s v="CLM10299"/>
        <s v="CLM10300"/>
        <s v="CLM10301"/>
        <s v="CLM10302"/>
        <s v="CLM10303"/>
        <s v="CLM10304"/>
        <s v="CLM10305"/>
        <s v="CLM10306"/>
        <s v="CLM10307"/>
        <s v="CLM10308"/>
        <s v="CLM10309"/>
        <s v="CLM10310"/>
        <s v="CLM10311"/>
        <s v="CLM10312"/>
        <s v="CLM10313"/>
        <s v="CLM10314"/>
        <s v="CLM10315"/>
        <s v="CLM10316"/>
        <s v="CLM10317"/>
        <s v="CLM10318"/>
        <s v="CLM10319"/>
        <s v="CLM10320"/>
        <s v="CLM10321"/>
        <s v="CLM10322"/>
        <s v="CLM10323"/>
        <s v="CLM10324"/>
        <s v="CLM10325"/>
        <s v="CLM10326"/>
        <s v="CLM10327"/>
        <s v="CLM10328"/>
        <s v="CLM10329"/>
        <s v="CLM10330"/>
        <s v="CLM10331"/>
        <s v="CLM10332"/>
        <s v="CLM10333"/>
        <s v="CLM10334"/>
        <s v="CLM10335"/>
        <s v="CLM10336"/>
        <s v="CLM10337"/>
        <s v="CLM10338"/>
        <s v="CLM10339"/>
        <s v="CLM10340"/>
        <s v="CLM10341"/>
        <s v="CLM10342"/>
        <s v="CLM10343"/>
        <s v="CLM10344"/>
        <s v="CLM10345"/>
        <s v="CLM10346"/>
        <s v="CLM10347"/>
        <s v="CLM10348"/>
        <s v="CLM10349"/>
        <s v="CLM10350"/>
        <s v="CLM10351"/>
        <s v="CLM10352"/>
        <s v="CLM10353"/>
        <s v="CLM10354"/>
        <s v="CLM10355"/>
        <s v="CLM10356"/>
        <s v="CLM10357"/>
        <s v="CLM10358"/>
        <s v="CLM10359"/>
        <s v="CLM10360"/>
        <s v="CLM10361"/>
        <s v="CLM10362"/>
        <s v="CLM10363"/>
        <s v="CLM10364"/>
        <s v="CLM10365"/>
        <s v="CLM10366"/>
        <s v="CLM10367"/>
        <s v="CLM10368"/>
        <s v="CLM10369"/>
        <s v="CLM10370"/>
        <s v="CLM10371"/>
        <s v="CLM10372"/>
        <s v="CLM10373"/>
        <s v="CLM10374"/>
        <s v="CLM10375"/>
        <s v="CLM10376"/>
        <s v="CLM10377"/>
        <s v="CLM10378"/>
        <s v="CLM10379"/>
        <s v="CLM10380"/>
        <s v="CLM10381"/>
        <s v="CLM10382"/>
        <s v="CLM10383"/>
        <s v="CLM10384"/>
        <s v="CLM10385"/>
        <s v="CLM10386"/>
        <s v="CLM10387"/>
        <s v="CLM10388"/>
        <s v="CLM10389"/>
        <s v="CLM10390"/>
        <s v="CLM10391"/>
        <s v="CLM10392"/>
        <s v="CLM10393"/>
        <s v="CLM10394"/>
        <s v="CLM10395"/>
        <s v="CLM10396"/>
        <s v="CLM10397"/>
        <s v="CLM10398"/>
        <s v="CLM10399"/>
        <s v="CLM10400"/>
        <s v="CLM10401"/>
        <s v="CLM10402"/>
        <s v="CLM10403"/>
        <s v="CLM10404"/>
        <s v="CLM10405"/>
        <s v="CLM10406"/>
        <s v="CLM10407"/>
        <s v="CLM10408"/>
        <s v="CLM10409"/>
        <s v="CLM10410"/>
        <s v="CLM10411"/>
        <s v="CLM10412"/>
        <s v="CLM10413"/>
        <s v="CLM10414"/>
        <s v="CLM10415"/>
        <s v="CLM10416"/>
        <s v="CLM10417"/>
        <s v="CLM10418"/>
        <s v="CLM10419"/>
        <s v="CLM10420"/>
        <s v="CLM10421"/>
        <s v="CLM10422"/>
        <s v="CLM10423"/>
        <s v="CLM10424"/>
        <s v="CLM10425"/>
        <s v="CLM10426"/>
        <s v="CLM10427"/>
        <s v="CLM10428"/>
        <s v="CLM10429"/>
        <s v="CLM10430"/>
        <s v="CLM10431"/>
        <s v="CLM10432"/>
        <s v="CLM10433"/>
        <s v="CLM10434"/>
        <s v="CLM10435"/>
        <s v="CLM10436"/>
        <s v="CLM10437"/>
        <s v="CLM10438"/>
        <s v="CLM10439"/>
        <s v="CLM10440"/>
        <s v="CLM10441"/>
        <s v="CLM10442"/>
        <s v="CLM10443"/>
        <s v="CLM10444"/>
        <s v="CLM10445"/>
        <s v="CLM10446"/>
        <s v="CLM10447"/>
        <s v="CLM10448"/>
        <s v="CLM10449"/>
        <s v="CLM10450"/>
        <s v="CLM10451"/>
        <s v="CLM10452"/>
        <s v="CLM10453"/>
        <s v="CLM10454"/>
        <s v="CLM10455"/>
        <s v="CLM10456"/>
        <s v="CLM10457"/>
        <s v="CLM10458"/>
        <s v="CLM10459"/>
        <s v="CLM10460"/>
        <s v="CLM10461"/>
        <s v="CLM10462"/>
        <s v="CLM10463"/>
        <s v="CLM10464"/>
        <s v="CLM10465"/>
        <s v="CLM10466"/>
        <s v="CLM10467"/>
        <s v="CLM10468"/>
        <s v="CLM10469"/>
        <s v="CLM10470"/>
        <s v="CLM10471"/>
        <s v="CLM10472"/>
        <s v="CLM10473"/>
        <s v="CLM10474"/>
        <s v="CLM10475"/>
        <s v="CLM10476"/>
        <s v="CLM10477"/>
        <s v="CLM10478"/>
        <s v="CLM10479"/>
        <s v="CLM10480"/>
        <s v="CLM10481"/>
        <s v="CLM10482"/>
        <s v="CLM10483"/>
        <s v="CLM10484"/>
        <s v="CLM10485"/>
        <s v="CLM10486"/>
        <s v="CLM10487"/>
        <s v="CLM10488"/>
        <s v="CLM10489"/>
        <s v="CLM10490"/>
        <s v="CLM10491"/>
        <s v="CLM10492"/>
        <s v="CLM10493"/>
        <s v="CLM10494"/>
        <s v="CLM10495"/>
        <s v="CLM10496"/>
        <s v="CLM10497"/>
        <s v="CLM10498"/>
        <s v="CLM10499"/>
        <s v="CLM10500"/>
        <s v="CLM10501"/>
        <s v="CLM10502"/>
        <s v="CLM10503"/>
        <s v="CLM10504"/>
        <s v="CLM10505"/>
        <s v="CLM10506"/>
        <s v="CLM10507"/>
        <s v="CLM10508"/>
        <s v="CLM10509"/>
        <s v="CLM10510"/>
        <s v="CLM10511"/>
        <s v="CLM10512"/>
        <s v="CLM10513"/>
        <s v="CLM10514"/>
        <s v="CLM10515"/>
        <s v="CLM10516"/>
        <s v="CLM10517"/>
        <s v="CLM10518"/>
        <s v="CLM10519"/>
        <s v="CLM10520"/>
        <s v="CLM10521"/>
        <s v="CLM10522"/>
        <s v="CLM10523"/>
        <s v="CLM10524"/>
        <s v="CLM10525"/>
        <s v="CLM10526"/>
        <s v="CLM10527"/>
        <s v="CLM10528"/>
        <s v="CLM10529"/>
        <s v="CLM10530"/>
        <s v="CLM10531"/>
        <s v="CLM10532"/>
        <s v="CLM10533"/>
        <s v="CLM10534"/>
        <s v="CLM10535"/>
        <s v="CLM10536"/>
        <s v="CLM10537"/>
        <s v="CLM10538"/>
        <s v="CLM10539"/>
        <s v="CLM10540"/>
        <s v="CLM10541"/>
        <s v="CLM10542"/>
        <s v="CLM10543"/>
        <s v="CLM10544"/>
        <s v="CLM10545"/>
        <s v="CLM10546"/>
        <s v="CLM10547"/>
        <s v="CLM10548"/>
        <s v="CLM10549"/>
        <s v="CLM10550"/>
        <s v="CLM10551"/>
        <s v="CLM10552"/>
        <s v="CLM10553"/>
        <s v="CLM10554"/>
        <s v="CLM10555"/>
        <s v="CLM10556"/>
        <s v="CLM10557"/>
        <s v="CLM10558"/>
        <s v="CLM10559"/>
        <s v="CLM10560"/>
        <s v="CLM10561"/>
        <s v="CLM10562"/>
        <s v="CLM10563"/>
        <s v="CLM10564"/>
        <s v="CLM10565"/>
        <s v="CLM10566"/>
        <s v="CLM10567"/>
        <s v="CLM10568"/>
        <s v="CLM10569"/>
        <s v="CLM10570"/>
        <s v="CLM10571"/>
        <s v="CLM10572"/>
        <s v="CLM10573"/>
        <s v="CLM10574"/>
        <s v="CLM10575"/>
        <s v="CLM10576"/>
        <s v="CLM10577"/>
        <s v="CLM10578"/>
        <s v="CLM10579"/>
        <s v="CLM10580"/>
        <s v="CLM10581"/>
        <s v="CLM10582"/>
        <s v="CLM10583"/>
        <s v="CLM10584"/>
        <s v="CLM10585"/>
        <s v="CLM10586"/>
        <s v="CLM10587"/>
        <s v="CLM10588"/>
        <s v="CLM10589"/>
        <s v="CLM10590"/>
        <s v="CLM10591"/>
        <s v="CLM10592"/>
        <s v="CLM10593"/>
        <s v="CLM10594"/>
        <s v="CLM10595"/>
        <s v="CLM10596"/>
        <s v="CLM10597"/>
        <s v="CLM10598"/>
        <s v="CLM10599"/>
        <s v="CLM10600"/>
        <s v="CLM10601"/>
        <s v="CLM10602"/>
        <s v="CLM10603"/>
        <s v="CLM10604"/>
        <s v="CLM10605"/>
        <s v="CLM10606"/>
        <s v="CLM10607"/>
        <s v="CLM10608"/>
        <s v="CLM10609"/>
        <s v="CLM10610"/>
        <s v="CLM10611"/>
        <s v="CLM10612"/>
        <s v="CLM10613"/>
        <s v="CLM10614"/>
        <s v="CLM10615"/>
        <s v="CLM10616"/>
        <s v="CLM10617"/>
        <s v="CLM10618"/>
        <s v="CLM10619"/>
        <s v="CLM10620"/>
        <s v="CLM10621"/>
        <s v="CLM10622"/>
        <s v="CLM10623"/>
        <s v="CLM10624"/>
        <s v="CLM10625"/>
        <s v="CLM10626"/>
        <s v="CLM10627"/>
        <s v="CLM10628"/>
        <s v="CLM10629"/>
        <s v="CLM10630"/>
        <s v="CLM10631"/>
        <s v="CLM10632"/>
        <s v="CLM10633"/>
        <s v="CLM10634"/>
        <s v="CLM10635"/>
        <s v="CLM10636"/>
        <s v="CLM10637"/>
        <s v="CLM10638"/>
        <s v="CLM10639"/>
        <s v="CLM10640"/>
        <s v="CLM10641"/>
        <s v="CLM10642"/>
        <s v="CLM10643"/>
        <s v="CLM10644"/>
        <s v="CLM10645"/>
        <s v="CLM10646"/>
        <s v="CLM10647"/>
        <s v="CLM10648"/>
        <s v="CLM10649"/>
        <s v="CLM10650"/>
        <s v="CLM10651"/>
        <s v="CLM10652"/>
        <s v="CLM10653"/>
        <s v="CLM10654"/>
        <s v="CLM10655"/>
        <s v="CLM10656"/>
        <s v="CLM10657"/>
        <s v="CLM10658"/>
        <s v="CLM10659"/>
        <s v="CLM10660"/>
        <s v="CLM10661"/>
        <s v="CLM10662"/>
        <s v="CLM10663"/>
        <s v="CLM10664"/>
        <s v="CLM10665"/>
        <s v="CLM10666"/>
        <s v="CLM10667"/>
        <s v="CLM10668"/>
        <s v="CLM10669"/>
        <s v="CLM10670"/>
        <s v="CLM10671"/>
        <s v="CLM10672"/>
        <s v="CLM10673"/>
        <s v="CLM10674"/>
        <s v="CLM10675"/>
        <s v="CLM10676"/>
        <s v="CLM10677"/>
        <s v="CLM10678"/>
        <s v="CLM10679"/>
        <s v="CLM10680"/>
        <s v="CLM10681"/>
        <s v="CLM10682"/>
        <s v="CLM10683"/>
        <s v="CLM10684"/>
        <s v="CLM10685"/>
        <s v="CLM10686"/>
        <s v="CLM10687"/>
        <s v="CLM10688"/>
        <s v="CLM10689"/>
        <s v="CLM10690"/>
        <s v="CLM10691"/>
        <s v="CLM10692"/>
        <s v="CLM10693"/>
        <s v="CLM10694"/>
        <s v="CLM10695"/>
        <s v="CLM10696"/>
        <s v="CLM10697"/>
        <s v="CLM10698"/>
        <s v="CLM10699"/>
        <s v="CLM10700"/>
        <s v="CLM10701"/>
        <s v="CLM10702"/>
        <s v="CLM10703"/>
        <s v="CLM10704"/>
        <s v="CLM10705"/>
        <s v="CLM10706"/>
        <s v="CLM10707"/>
        <s v="CLM10708"/>
        <s v="CLM10709"/>
        <s v="CLM10710"/>
        <s v="CLM10711"/>
        <s v="CLM10712"/>
        <s v="CLM10713"/>
        <s v="CLM10714"/>
        <s v="CLM10715"/>
        <s v="CLM10716"/>
        <s v="CLM10717"/>
        <s v="CLM10718"/>
        <s v="CLM10719"/>
        <s v="CLM10720"/>
        <s v="CLM10721"/>
        <s v="CLM10722"/>
        <s v="CLM10723"/>
        <s v="CLM10724"/>
        <s v="CLM10725"/>
        <s v="CLM10726"/>
        <s v="CLM10727"/>
        <s v="CLM10728"/>
        <s v="CLM10729"/>
        <s v="CLM10730"/>
        <s v="CLM10731"/>
        <s v="CLM10732"/>
        <s v="CLM10733"/>
        <s v="CLM10734"/>
        <s v="CLM10735"/>
        <s v="CLM10736"/>
        <s v="CLM10737"/>
        <s v="CLM10738"/>
        <s v="CLM10739"/>
        <s v="CLM10740"/>
        <s v="CLM10741"/>
        <s v="CLM10742"/>
        <s v="CLM10743"/>
        <s v="CLM10744"/>
        <s v="CLM10745"/>
        <s v="CLM10746"/>
        <s v="CLM10747"/>
        <s v="CLM10748"/>
        <s v="CLM10749"/>
        <s v="CLM10750"/>
        <s v="CLM10751"/>
        <s v="CLM10752"/>
        <s v="CLM10753"/>
        <s v="CLM10754"/>
        <s v="CLM10755"/>
        <s v="CLM10756"/>
        <s v="CLM10757"/>
        <s v="CLM10758"/>
        <s v="CLM10759"/>
        <s v="CLM10760"/>
        <s v="CLM10761"/>
        <s v="CLM10762"/>
        <s v="CLM10763"/>
        <s v="CLM10764"/>
        <s v="CLM10765"/>
        <s v="CLM10766"/>
        <s v="CLM10767"/>
        <s v="CLM10768"/>
        <s v="CLM10769"/>
        <s v="CLM10770"/>
        <s v="CLM10771"/>
        <s v="CLM10772"/>
        <s v="CLM10773"/>
        <s v="CLM10774"/>
        <s v="CLM10775"/>
        <s v="CLM10776"/>
        <s v="CLM10777"/>
        <s v="CLM10778"/>
        <s v="CLM10779"/>
        <s v="CLM10780"/>
        <s v="CLM10781"/>
        <s v="CLM10782"/>
        <s v="CLM10783"/>
        <s v="CLM10784"/>
        <s v="CLM10785"/>
        <s v="CLM10786"/>
        <s v="CLM10787"/>
        <s v="CLM10788"/>
        <s v="CLM10789"/>
        <s v="CLM10790"/>
        <s v="CLM10791"/>
        <s v="CLM10792"/>
        <s v="CLM10793"/>
        <s v="CLM10794"/>
        <s v="CLM10795"/>
        <s v="CLM10796"/>
        <s v="CLM10797"/>
        <s v="CLM10798"/>
        <s v="CLM10799"/>
        <s v="CLM10800"/>
        <s v="CLM10801"/>
        <s v="CLM10802"/>
        <s v="CLM10803"/>
        <s v="CLM10804"/>
        <s v="CLM10805"/>
        <s v="CLM10806"/>
        <s v="CLM10807"/>
        <s v="CLM10808"/>
        <s v="CLM10809"/>
        <s v="CLM10810"/>
        <s v="CLM10811"/>
        <s v="CLM10812"/>
        <s v="CLM10813"/>
        <s v="CLM10814"/>
        <s v="CLM10815"/>
        <s v="CLM10816"/>
        <s v="CLM10817"/>
        <s v="CLM10818"/>
        <s v="CLM10819"/>
        <s v="CLM10820"/>
        <s v="CLM10821"/>
        <s v="CLM10822"/>
        <s v="CLM10823"/>
        <s v="CLM10824"/>
        <s v="CLM10825"/>
        <s v="CLM10826"/>
        <s v="CLM10827"/>
        <s v="CLM10828"/>
        <s v="CLM10829"/>
        <s v="CLM10830"/>
        <s v="CLM10831"/>
        <s v="CLM10832"/>
        <s v="CLM10833"/>
        <s v="CLM10834"/>
        <s v="CLM10835"/>
        <s v="CLM10836"/>
        <s v="CLM10837"/>
        <s v="CLM10838"/>
        <s v="CLM10839"/>
        <s v="CLM10840"/>
        <s v="CLM10841"/>
        <s v="CLM10842"/>
        <s v="CLM10843"/>
        <s v="CLM10844"/>
        <s v="CLM10845"/>
        <s v="CLM10846"/>
        <s v="CLM10847"/>
        <s v="CLM10848"/>
        <s v="CLM10849"/>
        <s v="CLM10850"/>
        <s v="CLM10851"/>
        <s v="CLM10852"/>
        <s v="CLM10853"/>
        <s v="CLM10854"/>
        <s v="CLM10855"/>
        <s v="CLM10856"/>
        <s v="CLM10857"/>
        <s v="CLM10858"/>
        <s v="CLM10859"/>
        <s v="CLM10860"/>
        <s v="CLM10861"/>
        <s v="CLM10862"/>
        <s v="CLM10863"/>
        <s v="CLM10864"/>
        <s v="CLM10865"/>
        <s v="CLM10866"/>
        <s v="CLM10867"/>
        <s v="CLM10868"/>
        <s v="CLM10869"/>
        <s v="CLM10870"/>
        <s v="CLM10871"/>
        <s v="CLM10872"/>
        <s v="CLM10873"/>
        <s v="CLM10874"/>
        <s v="CLM10875"/>
        <s v="CLM10876"/>
        <s v="CLM10877"/>
        <s v="CLM10878"/>
        <s v="CLM10879"/>
        <s v="CLM10880"/>
        <s v="CLM10881"/>
        <s v="CLM10882"/>
        <s v="CLM10883"/>
        <s v="CLM10884"/>
        <s v="CLM10885"/>
        <s v="CLM10886"/>
        <s v="CLM10887"/>
        <s v="CLM10888"/>
        <s v="CLM10889"/>
        <s v="CLM10890"/>
        <s v="CLM10891"/>
        <s v="CLM10892"/>
        <s v="CLM10893"/>
        <s v="CLM10894"/>
        <s v="CLM10895"/>
        <s v="CLM10896"/>
        <s v="CLM10897"/>
        <s v="CLM10898"/>
        <s v="CLM10899"/>
        <s v="CLM10900"/>
        <s v="CLM10901"/>
        <s v="CLM10902"/>
        <s v="CLM10903"/>
        <s v="CLM10904"/>
        <s v="CLM10905"/>
        <s v="CLM10906"/>
        <s v="CLM10907"/>
        <s v="CLM10908"/>
        <s v="CLM10909"/>
        <s v="CLM10910"/>
        <s v="CLM10911"/>
        <s v="CLM10912"/>
        <s v="CLM10913"/>
        <s v="CLM10914"/>
        <s v="CLM10915"/>
        <s v="CLM10916"/>
        <s v="CLM10917"/>
        <s v="CLM10918"/>
        <s v="CLM10919"/>
        <s v="CLM10920"/>
        <s v="CLM10921"/>
        <s v="CLM10922"/>
        <s v="CLM10923"/>
        <s v="CLM10924"/>
        <s v="CLM10925"/>
        <s v="CLM10926"/>
        <s v="CLM10927"/>
        <s v="CLM10928"/>
        <s v="CLM10929"/>
        <s v="CLM10930"/>
        <s v="CLM10931"/>
        <s v="CLM10932"/>
        <s v="CLM10933"/>
        <s v="CLM10934"/>
        <s v="CLM10935"/>
        <s v="CLM10936"/>
        <s v="CLM10937"/>
        <s v="CLM10938"/>
        <s v="CLM10939"/>
        <s v="CLM10940"/>
        <s v="CLM10941"/>
        <s v="CLM10942"/>
        <s v="CLM10943"/>
        <s v="CLM10944"/>
        <s v="CLM10945"/>
        <s v="CLM10946"/>
        <s v="CLM10947"/>
        <s v="CLM10948"/>
        <s v="CLM10949"/>
        <s v="CLM10950"/>
        <s v="CLM10951"/>
        <s v="CLM10952"/>
        <s v="CLM10953"/>
        <s v="CLM10954"/>
        <s v="CLM10955"/>
        <s v="CLM10956"/>
        <s v="CLM10957"/>
        <s v="CLM10958"/>
        <s v="CLM10959"/>
        <s v="CLM10960"/>
        <s v="CLM10961"/>
        <s v="CLM10962"/>
        <s v="CLM10963"/>
        <s v="CLM10964"/>
        <s v="CLM10965"/>
        <s v="CLM10966"/>
        <s v="CLM10967"/>
        <s v="CLM10968"/>
        <s v="CLM10969"/>
        <s v="CLM10970"/>
        <s v="CLM10971"/>
        <s v="CLM10972"/>
        <s v="CLM10973"/>
        <s v="CLM10974"/>
        <s v="CLM10975"/>
        <s v="CLM10976"/>
        <s v="CLM10977"/>
        <s v="CLM10978"/>
        <s v="CLM10979"/>
        <s v="CLM10980"/>
        <s v="CLM10981"/>
        <s v="CLM10982"/>
        <s v="CLM10983"/>
        <s v="CLM10984"/>
        <s v="CLM10985"/>
        <s v="CLM10986"/>
        <s v="CLM10987"/>
        <s v="CLM10988"/>
        <s v="CLM10989"/>
        <s v="CLM10990"/>
        <s v="CLM10991"/>
        <s v="CLM10992"/>
        <s v="CLM10993"/>
        <s v="CLM10994"/>
        <s v="CLM10995"/>
        <s v="CLM10996"/>
        <s v="CLM10997"/>
        <s v="CLM10998"/>
        <s v="CLM10999"/>
        <s v="CLM11000"/>
        <s v="CLM11001"/>
        <s v="CLM11002"/>
        <s v="CLM11003"/>
        <s v="CLM11004"/>
        <s v="CLM11005"/>
        <s v="CLM11006"/>
        <s v="CLM11007"/>
        <s v="CLM11008"/>
        <s v="CLM11009"/>
        <s v="CLM11010"/>
        <s v="CLM11011"/>
        <s v="CLM11012"/>
        <s v="CLM11013"/>
        <s v="CLM11014"/>
        <s v="CLM11015"/>
        <s v="CLM11016"/>
        <s v="CLM11017"/>
        <s v="CLM11018"/>
        <s v="CLM11019"/>
        <s v="CLM11020"/>
        <s v="CLM11021"/>
        <s v="CLM11022"/>
        <s v="CLM11023"/>
        <s v="CLM11024"/>
        <s v="CLM11025"/>
        <s v="CLM11026"/>
        <s v="CLM11027"/>
        <s v="CLM11028"/>
        <s v="CLM11029"/>
        <s v="CLM11030"/>
        <s v="CLM11031"/>
        <s v="CLM11032"/>
        <s v="CLM11033"/>
        <s v="CLM11034"/>
        <s v="CLM11035"/>
        <s v="CLM11036"/>
        <s v="CLM11037"/>
        <s v="CLM11038"/>
        <s v="CLM11039"/>
        <s v="CLM11040"/>
        <s v="CLM11041"/>
        <s v="CLM11042"/>
        <s v="CLM11043"/>
        <s v="CLM11044"/>
        <s v="CLM11045"/>
        <s v="CLM11046"/>
        <s v="CLM11047"/>
        <s v="CLM11048"/>
        <s v="CLM11049"/>
        <s v="CLM11050"/>
        <s v="CLM11051"/>
        <s v="CLM11052"/>
        <s v="CLM11053"/>
        <s v="CLM11054"/>
        <s v="CLM11055"/>
        <s v="CLM11056"/>
        <s v="CLM11057"/>
        <s v="CLM11058"/>
        <s v="CLM11059"/>
        <s v="CLM11060"/>
        <s v="CLM11061"/>
        <s v="CLM11062"/>
        <s v="CLM11063"/>
        <s v="CLM11064"/>
        <s v="CLM11065"/>
        <s v="CLM11066"/>
        <s v="CLM11067"/>
        <s v="CLM11068"/>
        <s v="CLM11069"/>
        <s v="CLM11070"/>
        <s v="CLM11071"/>
        <s v="CLM11072"/>
        <s v="CLM11073"/>
        <s v="CLM11074"/>
        <s v="CLM11075"/>
        <s v="CLM11076"/>
        <s v="CLM11077"/>
        <s v="CLM11078"/>
        <s v="CLM11079"/>
        <s v="CLM11080"/>
        <s v="CLM11081"/>
        <s v="CLM11082"/>
        <s v="CLM11083"/>
        <s v="CLM11084"/>
        <s v="CLM11085"/>
        <s v="CLM11086"/>
        <s v="CLM11087"/>
        <s v="CLM11088"/>
        <s v="CLM11089"/>
        <s v="CLM11090"/>
        <s v="CLM11091"/>
        <s v="CLM11092"/>
        <s v="CLM11093"/>
        <s v="CLM11094"/>
        <s v="CLM11095"/>
        <s v="CLM11096"/>
        <s v="CLM11097"/>
        <s v="CLM11098"/>
        <s v="CLM11099"/>
        <s v="CLM11100"/>
        <s v="CLM11101"/>
        <s v="CLM11102"/>
        <s v="CLM11103"/>
        <s v="CLM11104"/>
        <s v="CLM11105"/>
        <s v="CLM11106"/>
        <s v="CLM11107"/>
        <s v="CLM11108"/>
        <s v="CLM11109"/>
        <s v="CLM11110"/>
        <s v="CLM11111"/>
        <s v="CLM11112"/>
        <s v="CLM11113"/>
        <s v="CLM11114"/>
        <s v="CLM11115"/>
        <s v="CLM11116"/>
        <s v="CLM11117"/>
        <s v="CLM11118"/>
        <s v="CLM11119"/>
        <s v="CLM11120"/>
        <s v="CLM11121"/>
        <s v="CLM11122"/>
        <s v="CLM11123"/>
        <s v="CLM11124"/>
        <s v="CLM11125"/>
        <s v="CLM11126"/>
        <s v="CLM11127"/>
        <s v="CLM11128"/>
        <s v="CLM11129"/>
        <s v="CLM11130"/>
        <s v="CLM11131"/>
        <s v="CLM11132"/>
        <s v="CLM11133"/>
        <s v="CLM11134"/>
        <s v="CLM11135"/>
        <s v="CLM11136"/>
        <s v="CLM11137"/>
        <s v="CLM11138"/>
        <s v="CLM11139"/>
        <s v="CLM11140"/>
        <s v="CLM11141"/>
        <s v="CLM11142"/>
        <s v="CLM11143"/>
        <s v="CLM11144"/>
        <s v="CLM11145"/>
        <s v="CLM11146"/>
        <s v="CLM11147"/>
        <s v="CLM11148"/>
        <s v="CLM11149"/>
        <s v="CLM11150"/>
        <s v="CLM11151"/>
        <s v="CLM11152"/>
        <s v="CLM11153"/>
        <s v="CLM11154"/>
        <s v="CLM11155"/>
        <s v="CLM11156"/>
        <s v="CLM11157"/>
        <s v="CLM11158"/>
        <s v="CLM11159"/>
        <s v="CLM11160"/>
        <s v="CLM11161"/>
        <s v="CLM11162"/>
        <s v="CLM11163"/>
        <s v="CLM11164"/>
        <s v="CLM11165"/>
        <s v="CLM11166"/>
        <s v="CLM11167"/>
        <s v="CLM11168"/>
        <s v="CLM11169"/>
        <s v="CLM11170"/>
        <s v="CLM11171"/>
        <s v="CLM11172"/>
        <s v="CLM11173"/>
        <s v="CLM11174"/>
        <s v="CLM11175"/>
        <s v="CLM11176"/>
        <s v="CLM11177"/>
        <s v="CLM11178"/>
        <s v="CLM11179"/>
        <s v="CLM11180"/>
        <s v="CLM11181"/>
        <s v="CLM11182"/>
        <s v="CLM11183"/>
        <s v="CLM11184"/>
        <s v="CLM11185"/>
        <s v="CLM11186"/>
        <s v="CLM11187"/>
        <s v="CLM11188"/>
        <s v="CLM11189"/>
        <s v="CLM11190"/>
        <s v="CLM11191"/>
        <s v="CLM11192"/>
        <s v="CLM11193"/>
        <s v="CLM11194"/>
        <s v="CLM11195"/>
        <s v="CLM11196"/>
        <s v="CLM11197"/>
        <s v="CLM11198"/>
        <s v="CLM11199"/>
      </sharedItems>
    </cacheField>
    <cacheField name="Patient_Name" numFmtId="0">
      <sharedItems/>
    </cacheField>
    <cacheField name="Hospital_Name" numFmtId="0">
      <sharedItems count="6">
        <s v="Apollo Hospital"/>
        <s v="Aig Hospital"/>
        <s v="Kims"/>
        <s v="Yashoda Hospitals"/>
        <s v="Continental Hospitals"/>
        <s v="Care Hospitals"/>
      </sharedItems>
    </cacheField>
    <cacheField name="Diagnosis" numFmtId="0">
      <sharedItems/>
    </cacheField>
    <cacheField name="Claim_Amount" numFmtId="0">
      <sharedItems containsSemiMixedTypes="0" containsString="0" containsNumber="1" containsInteger="1" minValue="2044" maxValue="49971"/>
    </cacheField>
    <cacheField name="Approved_Amount" numFmtId="0">
      <sharedItems containsSemiMixedTypes="0" containsString="0" containsNumber="1" containsInteger="1" minValue="0" maxValue="49511"/>
    </cacheField>
    <cacheField name="Claim_Status" numFmtId="0">
      <sharedItems count="2">
        <s v="Approved"/>
        <s v="Rejected"/>
      </sharedItems>
    </cacheField>
    <cacheField name="Claim_Date" numFmtId="14">
      <sharedItems containsSemiMixedTypes="0" containsNonDate="0" containsDate="1" containsString="0" minDate="2024-01-01T00:00:00" maxDate="2025-01-01T00:00:00" count="354">
        <d v="2024-02-22T00:00:00"/>
        <d v="2024-09-15T00:00:00"/>
        <d v="2024-05-22T00:00:00"/>
        <d v="2024-06-21T00:00:00"/>
        <d v="2024-01-23T00:00:00"/>
        <d v="2024-02-05T00:00:00"/>
        <d v="2024-08-20T00:00:00"/>
        <d v="2024-11-21T00:00:00"/>
        <d v="2024-04-22T00:00:00"/>
        <d v="2024-02-03T00:00:00"/>
        <d v="2024-05-06T00:00:00"/>
        <d v="2024-09-17T00:00:00"/>
        <d v="2024-12-14T00:00:00"/>
        <d v="2024-02-28T00:00:00"/>
        <d v="2024-01-02T00:00:00"/>
        <d v="2024-03-23T00:00:00"/>
        <d v="2024-06-06T00:00:00"/>
        <d v="2024-08-04T00:00:00"/>
        <d v="2024-09-21T00:00:00"/>
        <d v="2024-10-10T00:00:00"/>
        <d v="2024-02-04T00:00:00"/>
        <d v="2024-10-03T00:00:00"/>
        <d v="2024-08-08T00:00:00"/>
        <d v="2024-06-22T00:00:00"/>
        <d v="2024-08-24T00:00:00"/>
        <d v="2024-01-08T00:00:00"/>
        <d v="2024-07-24T00:00:00"/>
        <d v="2024-12-22T00:00:00"/>
        <d v="2024-10-04T00:00:00"/>
        <d v="2024-09-28T00:00:00"/>
        <d v="2024-04-30T00:00:00"/>
        <d v="2024-10-16T00:00:00"/>
        <d v="2024-12-09T00:00:00"/>
        <d v="2024-02-21T00:00:00"/>
        <d v="2024-05-05T00:00:00"/>
        <d v="2024-06-02T00:00:00"/>
        <d v="2024-05-24T00:00:00"/>
        <d v="2024-01-27T00:00:00"/>
        <d v="2024-05-14T00:00:00"/>
        <d v="2024-01-19T00:00:00"/>
        <d v="2024-07-02T00:00:00"/>
        <d v="2024-05-01T00:00:00"/>
        <d v="2024-03-22T00:00:00"/>
        <d v="2024-06-05T00:00:00"/>
        <d v="2024-10-24T00:00:00"/>
        <d v="2024-11-06T00:00:00"/>
        <d v="2024-09-23T00:00:00"/>
        <d v="2024-03-04T00:00:00"/>
        <d v="2024-03-06T00:00:00"/>
        <d v="2024-01-01T00:00:00"/>
        <d v="2024-12-11T00:00:00"/>
        <d v="2024-06-20T00:00:00"/>
        <d v="2024-01-24T00:00:00"/>
        <d v="2024-04-09T00:00:00"/>
        <d v="2024-02-24T00:00:00"/>
        <d v="2024-03-03T00:00:00"/>
        <d v="2024-08-06T00:00:00"/>
        <d v="2024-06-12T00:00:00"/>
        <d v="2024-04-19T00:00:00"/>
        <d v="2024-08-03T00:00:00"/>
        <d v="2024-07-18T00:00:00"/>
        <d v="2024-10-15T00:00:00"/>
        <d v="2024-07-13T00:00:00"/>
        <d v="2024-02-11T00:00:00"/>
        <d v="2024-11-29T00:00:00"/>
        <d v="2024-12-08T00:00:00"/>
        <d v="2024-04-11T00:00:00"/>
        <d v="2024-08-07T00:00:00"/>
        <d v="2024-08-09T00:00:00"/>
        <d v="2024-10-02T00:00:00"/>
        <d v="2024-08-18T00:00:00"/>
        <d v="2024-06-15T00:00:00"/>
        <d v="2024-12-25T00:00:00"/>
        <d v="2024-10-11T00:00:00"/>
        <d v="2024-07-26T00:00:00"/>
        <d v="2024-06-25T00:00:00"/>
        <d v="2024-04-20T00:00:00"/>
        <d v="2024-07-03T00:00:00"/>
        <d v="2024-05-29T00:00:00"/>
        <d v="2024-04-04T00:00:00"/>
        <d v="2024-10-22T00:00:00"/>
        <d v="2024-08-01T00:00:00"/>
        <d v="2024-10-28T00:00:00"/>
        <d v="2024-12-04T00:00:00"/>
        <d v="2024-12-18T00:00:00"/>
        <d v="2024-04-25T00:00:00"/>
        <d v="2024-10-18T00:00:00"/>
        <d v="2024-05-08T00:00:00"/>
        <d v="2024-03-30T00:00:00"/>
        <d v="2024-07-28T00:00:00"/>
        <d v="2024-12-05T00:00:00"/>
        <d v="2024-07-25T00:00:00"/>
        <d v="2024-07-04T00:00:00"/>
        <d v="2024-03-08T00:00:00"/>
        <d v="2024-05-02T00:00:00"/>
        <d v="2024-09-04T00:00:00"/>
        <d v="2024-05-16T00:00:00"/>
        <d v="2024-08-21T00:00:00"/>
        <d v="2024-12-20T00:00:00"/>
        <d v="2024-11-20T00:00:00"/>
        <d v="2024-11-08T00:00:00"/>
        <d v="2024-05-10T00:00:00"/>
        <d v="2024-07-14T00:00:00"/>
        <d v="2024-01-05T00:00:00"/>
        <d v="2024-10-23T00:00:00"/>
        <d v="2024-05-15T00:00:00"/>
        <d v="2024-08-25T00:00:00"/>
        <d v="2024-02-19T00:00:00"/>
        <d v="2024-07-31T00:00:00"/>
        <d v="2024-08-15T00:00:00"/>
        <d v="2024-07-22T00:00:00"/>
        <d v="2024-01-11T00:00:00"/>
        <d v="2024-03-15T00:00:00"/>
        <d v="2024-11-10T00:00:00"/>
        <d v="2024-02-25T00:00:00"/>
        <d v="2024-11-15T00:00:00"/>
        <d v="2024-03-19T00:00:00"/>
        <d v="2024-03-07T00:00:00"/>
        <d v="2024-12-06T00:00:00"/>
        <d v="2024-09-16T00:00:00"/>
        <d v="2024-07-07T00:00:00"/>
        <d v="2024-08-14T00:00:00"/>
        <d v="2024-06-16T00:00:00"/>
        <d v="2024-12-26T00:00:00"/>
        <d v="2024-01-10T00:00:00"/>
        <d v="2024-06-19T00:00:00"/>
        <d v="2024-08-28T00:00:00"/>
        <d v="2024-10-31T00:00:00"/>
        <d v="2024-11-05T00:00:00"/>
        <d v="2024-11-26T00:00:00"/>
        <d v="2024-10-12T00:00:00"/>
        <d v="2024-10-13T00:00:00"/>
        <d v="2024-02-09T00:00:00"/>
        <d v="2024-07-11T00:00:00"/>
        <d v="2024-12-12T00:00:00"/>
        <d v="2024-09-27T00:00:00"/>
        <d v="2024-07-09T00:00:00"/>
        <d v="2024-01-14T00:00:00"/>
        <d v="2024-04-24T00:00:00"/>
        <d v="2024-08-29T00:00:00"/>
        <d v="2024-03-17T00:00:00"/>
        <d v="2024-08-02T00:00:00"/>
        <d v="2024-10-21T00:00:00"/>
        <d v="2024-06-29T00:00:00"/>
        <d v="2024-09-26T00:00:00"/>
        <d v="2024-01-09T00:00:00"/>
        <d v="2024-10-06T00:00:00"/>
        <d v="2024-08-22T00:00:00"/>
        <d v="2024-12-01T00:00:00"/>
        <d v="2024-04-05T00:00:00"/>
        <d v="2024-05-31T00:00:00"/>
        <d v="2024-12-13T00:00:00"/>
        <d v="2024-07-08T00:00:00"/>
        <d v="2024-05-13T00:00:00"/>
        <d v="2024-02-07T00:00:00"/>
        <d v="2024-04-12T00:00:00"/>
        <d v="2024-09-02T00:00:00"/>
        <d v="2024-08-26T00:00:00"/>
        <d v="2024-01-29T00:00:00"/>
        <d v="2024-12-29T00:00:00"/>
        <d v="2024-05-20T00:00:00"/>
        <d v="2024-11-24T00:00:00"/>
        <d v="2024-05-28T00:00:00"/>
        <d v="2024-01-31T00:00:00"/>
        <d v="2024-03-14T00:00:00"/>
        <d v="2024-10-14T00:00:00"/>
        <d v="2024-01-12T00:00:00"/>
        <d v="2024-01-26T00:00:00"/>
        <d v="2024-10-08T00:00:00"/>
        <d v="2024-07-06T00:00:00"/>
        <d v="2024-12-31T00:00:00"/>
        <d v="2024-09-29T00:00:00"/>
        <d v="2024-12-10T00:00:00"/>
        <d v="2024-06-09T00:00:00"/>
        <d v="2024-03-11T00:00:00"/>
        <d v="2024-06-01T00:00:00"/>
        <d v="2024-01-22T00:00:00"/>
        <d v="2024-05-27T00:00:00"/>
        <d v="2024-08-27T00:00:00"/>
        <d v="2024-05-11T00:00:00"/>
        <d v="2024-11-23T00:00:00"/>
        <d v="2024-03-12T00:00:00"/>
        <d v="2024-03-09T00:00:00"/>
        <d v="2024-12-24T00:00:00"/>
        <d v="2024-03-10T00:00:00"/>
        <d v="2024-06-26T00:00:00"/>
        <d v="2024-04-15T00:00:00"/>
        <d v="2024-08-12T00:00:00"/>
        <d v="2024-02-01T00:00:00"/>
        <d v="2024-09-25T00:00:00"/>
        <d v="2024-08-30T00:00:00"/>
        <d v="2024-07-30T00:00:00"/>
        <d v="2024-11-04T00:00:00"/>
        <d v="2024-11-28T00:00:00"/>
        <d v="2024-01-04T00:00:00"/>
        <d v="2024-10-09T00:00:00"/>
        <d v="2024-12-23T00:00:00"/>
        <d v="2024-04-08T00:00:00"/>
        <d v="2024-09-12T00:00:00"/>
        <d v="2024-08-31T00:00:00"/>
        <d v="2024-04-16T00:00:00"/>
        <d v="2024-05-03T00:00:00"/>
        <d v="2024-07-01T00:00:00"/>
        <d v="2024-02-13T00:00:00"/>
        <d v="2024-06-03T00:00:00"/>
        <d v="2024-06-04T00:00:00"/>
        <d v="2024-07-20T00:00:00"/>
        <d v="2024-12-28T00:00:00"/>
        <d v="2024-04-23T00:00:00"/>
        <d v="2024-12-19T00:00:00"/>
        <d v="2024-01-03T00:00:00"/>
        <d v="2024-12-21T00:00:00"/>
        <d v="2024-07-15T00:00:00"/>
        <d v="2024-01-17T00:00:00"/>
        <d v="2024-06-28T00:00:00"/>
        <d v="2024-10-20T00:00:00"/>
        <d v="2024-11-19T00:00:00"/>
        <d v="2024-05-17T00:00:00"/>
        <d v="2024-02-20T00:00:00"/>
        <d v="2024-02-18T00:00:00"/>
        <d v="2024-02-15T00:00:00"/>
        <d v="2024-02-27T00:00:00"/>
        <d v="2024-07-17T00:00:00"/>
        <d v="2024-12-30T00:00:00"/>
        <d v="2024-02-10T00:00:00"/>
        <d v="2024-11-07T00:00:00"/>
        <d v="2024-01-06T00:00:00"/>
        <d v="2024-11-17T00:00:00"/>
        <d v="2024-03-26T00:00:00"/>
        <d v="2024-09-09T00:00:00"/>
        <d v="2024-10-30T00:00:00"/>
        <d v="2024-10-26T00:00:00"/>
        <d v="2024-10-01T00:00:00"/>
        <d v="2024-12-17T00:00:00"/>
        <d v="2024-08-19T00:00:00"/>
        <d v="2024-05-12T00:00:00"/>
        <d v="2024-06-18T00:00:00"/>
        <d v="2024-01-16T00:00:00"/>
        <d v="2024-02-14T00:00:00"/>
        <d v="2024-09-14T00:00:00"/>
        <d v="2024-06-07T00:00:00"/>
        <d v="2024-06-11T00:00:00"/>
        <d v="2024-03-31T00:00:00"/>
        <d v="2024-11-09T00:00:00"/>
        <d v="2024-07-12T00:00:00"/>
        <d v="2024-01-18T00:00:00"/>
        <d v="2024-11-30T00:00:00"/>
        <d v="2024-10-19T00:00:00"/>
        <d v="2024-01-07T00:00:00"/>
        <d v="2024-10-25T00:00:00"/>
        <d v="2024-07-29T00:00:00"/>
        <d v="2024-04-26T00:00:00"/>
        <d v="2024-01-15T00:00:00"/>
        <d v="2024-03-29T00:00:00"/>
        <d v="2024-06-27T00:00:00"/>
        <d v="2024-09-18T00:00:00"/>
        <d v="2024-01-30T00:00:00"/>
        <d v="2024-09-30T00:00:00"/>
        <d v="2024-01-28T00:00:00"/>
        <d v="2024-04-02T00:00:00"/>
        <d v="2024-04-17T00:00:00"/>
        <d v="2024-03-27T00:00:00"/>
        <d v="2024-01-25T00:00:00"/>
        <d v="2024-11-12T00:00:00"/>
        <d v="2024-11-27T00:00:00"/>
        <d v="2024-08-17T00:00:00"/>
        <d v="2024-03-25T00:00:00"/>
        <d v="2024-03-02T00:00:00"/>
        <d v="2024-12-15T00:00:00"/>
        <d v="2024-11-13T00:00:00"/>
        <d v="2024-03-20T00:00:00"/>
        <d v="2024-08-16T00:00:00"/>
        <d v="2024-02-23T00:00:00"/>
        <d v="2024-03-13T00:00:00"/>
        <d v="2024-10-17T00:00:00"/>
        <d v="2024-09-20T00:00:00"/>
        <d v="2024-09-06T00:00:00"/>
        <d v="2024-10-27T00:00:00"/>
        <d v="2024-09-03T00:00:00"/>
        <d v="2024-11-25T00:00:00"/>
        <d v="2024-04-27T00:00:00"/>
        <d v="2024-01-21T00:00:00"/>
        <d v="2024-09-24T00:00:00"/>
        <d v="2024-11-03T00:00:00"/>
        <d v="2024-10-05T00:00:00"/>
        <d v="2024-05-09T00:00:00"/>
        <d v="2024-01-20T00:00:00"/>
        <d v="2024-02-29T00:00:00"/>
        <d v="2024-10-07T00:00:00"/>
        <d v="2024-11-18T00:00:00"/>
        <d v="2024-05-19T00:00:00"/>
        <d v="2024-08-10T00:00:00"/>
        <d v="2024-04-28T00:00:00"/>
        <d v="2024-09-08T00:00:00"/>
        <d v="2024-08-23T00:00:00"/>
        <d v="2024-12-07T00:00:00"/>
        <d v="2024-03-21T00:00:00"/>
        <d v="2024-12-27T00:00:00"/>
        <d v="2024-07-05T00:00:00"/>
        <d v="2024-12-03T00:00:00"/>
        <d v="2024-12-02T00:00:00"/>
        <d v="2024-07-21T00:00:00"/>
        <d v="2024-05-18T00:00:00"/>
        <d v="2024-05-21T00:00:00"/>
        <d v="2024-03-18T00:00:00"/>
        <d v="2024-11-16T00:00:00"/>
        <d v="2024-06-17T00:00:00"/>
        <d v="2024-12-16T00:00:00"/>
        <d v="2024-11-11T00:00:00"/>
        <d v="2024-10-29T00:00:00"/>
        <d v="2024-06-14T00:00:00"/>
        <d v="2024-06-30T00:00:00"/>
        <d v="2024-01-13T00:00:00"/>
        <d v="2024-07-19T00:00:00"/>
        <d v="2024-05-04T00:00:00"/>
        <d v="2024-04-18T00:00:00"/>
        <d v="2024-08-11T00:00:00"/>
        <d v="2024-05-30T00:00:00"/>
        <d v="2024-02-26T00:00:00"/>
        <d v="2024-06-24T00:00:00"/>
        <d v="2024-04-21T00:00:00"/>
        <d v="2024-03-16T00:00:00"/>
        <d v="2024-03-24T00:00:00"/>
        <d v="2024-07-16T00:00:00"/>
        <d v="2024-08-05T00:00:00"/>
        <d v="2024-04-01T00:00:00"/>
        <d v="2024-09-19T00:00:00"/>
        <d v="2024-09-22T00:00:00"/>
        <d v="2024-02-16T00:00:00"/>
        <d v="2024-07-27T00:00:00"/>
        <d v="2024-09-07T00:00:00"/>
        <d v="2024-09-11T00:00:00"/>
        <d v="2024-11-22T00:00:00"/>
        <d v="2024-05-26T00:00:00"/>
        <d v="2024-09-13T00:00:00"/>
        <d v="2024-05-23T00:00:00"/>
        <d v="2024-04-14T00:00:00"/>
        <d v="2024-09-01T00:00:00"/>
        <d v="2024-04-03T00:00:00"/>
        <d v="2024-03-28T00:00:00"/>
        <d v="2024-02-02T00:00:00"/>
        <d v="2024-05-25T00:00:00"/>
        <d v="2024-04-13T00:00:00"/>
        <d v="2024-02-12T00:00:00"/>
        <d v="2024-11-14T00:00:00"/>
        <d v="2024-02-08T00:00:00"/>
        <d v="2024-02-06T00:00:00"/>
        <d v="2024-07-23T00:00:00"/>
        <d v="2024-05-07T00:00:00"/>
        <d v="2024-04-07T00:00:00"/>
        <d v="2024-07-10T00:00:00"/>
        <d v="2024-06-23T00:00:00"/>
        <d v="2024-11-02T00:00:00"/>
        <d v="2024-02-17T00:00:00"/>
      </sharedItems>
    </cacheField>
    <cacheField name="Approval_Date" numFmtId="14">
      <sharedItems containsNonDate="0" containsDate="1" containsString="0" containsBlank="1" minDate="2024-01-03T00:00:00" maxDate="2025-01-10T00:00:00" count="349">
        <d v="2024-03-02T00:00:00"/>
        <d v="2024-09-25T00:00:00"/>
        <m/>
        <d v="2024-06-23T00:00:00"/>
        <d v="2024-01-31T00:00:00"/>
        <d v="2024-02-06T00:00:00"/>
        <d v="2024-08-26T00:00:00"/>
        <d v="2024-11-24T00:00:00"/>
        <d v="2024-02-07T00:00:00"/>
        <d v="2024-05-15T00:00:00"/>
        <d v="2024-12-21T00:00:00"/>
        <d v="2024-03-08T00:00:00"/>
        <d v="2024-01-07T00:00:00"/>
        <d v="2024-04-01T00:00:00"/>
        <d v="2024-06-10T00:00:00"/>
        <d v="2024-02-14T00:00:00"/>
        <d v="2024-09-29T00:00:00"/>
        <d v="2024-02-05T00:00:00"/>
        <d v="2024-10-06T00:00:00"/>
        <d v="2024-08-14T00:00:00"/>
        <d v="2024-06-24T00:00:00"/>
        <d v="2024-08-28T00:00:00"/>
        <d v="2024-07-25T00:00:00"/>
        <d v="2024-12-31T00:00:00"/>
        <d v="2024-10-01T00:00:00"/>
        <d v="2024-05-07T00:00:00"/>
        <d v="2024-12-14T00:00:00"/>
        <d v="2024-05-11T00:00:00"/>
        <d v="2024-06-03T00:00:00"/>
        <d v="2024-01-29T00:00:00"/>
        <d v="2024-05-17T00:00:00"/>
        <d v="2024-01-25T00:00:00"/>
        <d v="2024-07-06T00:00:00"/>
        <d v="2024-05-04T00:00:00"/>
        <d v="2024-03-24T00:00:00"/>
        <d v="2024-06-09T00:00:00"/>
        <d v="2024-05-28T00:00:00"/>
        <d v="2024-10-29T00:00:00"/>
        <d v="2024-11-15T00:00:00"/>
        <d v="2024-10-02T00:00:00"/>
        <d v="2024-03-09T00:00:00"/>
        <d v="2024-03-10T00:00:00"/>
        <d v="2024-12-15T00:00:00"/>
        <d v="2024-01-28T00:00:00"/>
        <d v="2024-03-11T00:00:00"/>
        <d v="2024-06-21T00:00:00"/>
        <d v="2024-04-21T00:00:00"/>
        <d v="2024-08-10T00:00:00"/>
        <d v="2024-06-28T00:00:00"/>
        <d v="2024-07-19T00:00:00"/>
        <d v="2024-02-19T00:00:00"/>
        <d v="2024-11-30T00:00:00"/>
        <d v="2024-12-10T00:00:00"/>
        <d v="2024-04-13T00:00:00"/>
        <d v="2024-08-15T00:00:00"/>
        <d v="2024-10-10T00:00:00"/>
        <d v="2024-08-22T00:00:00"/>
        <d v="2024-06-18T00:00:00"/>
        <d v="2024-10-15T00:00:00"/>
        <d v="2024-07-30T00:00:00"/>
        <d v="2024-04-28T00:00:00"/>
        <d v="2024-06-01T00:00:00"/>
        <d v="2024-04-05T00:00:00"/>
        <d v="2024-10-23T00:00:00"/>
        <d v="2024-08-11T00:00:00"/>
        <d v="2024-11-04T00:00:00"/>
        <d v="2024-12-06T00:00:00"/>
        <d v="2024-12-28T00:00:00"/>
        <d v="2024-04-07T00:00:00"/>
        <d v="2024-08-03T00:00:00"/>
        <d v="2024-12-12T00:00:00"/>
        <d v="2024-07-14T00:00:00"/>
        <d v="2024-03-07T00:00:00"/>
        <d v="2024-09-12T00:00:00"/>
        <d v="2024-05-12T00:00:00"/>
        <d v="2024-12-08T00:00:00"/>
        <d v="2024-12-27T00:00:00"/>
        <d v="2024-10-05T00:00:00"/>
        <d v="2024-11-22T00:00:00"/>
        <d v="2024-07-08T00:00:00"/>
        <d v="2024-07-24T00:00:00"/>
        <d v="2024-01-15T00:00:00"/>
        <d v="2024-11-25T00:00:00"/>
        <d v="2024-10-09T00:00:00"/>
        <d v="2024-05-24T00:00:00"/>
        <d v="2024-08-30T00:00:00"/>
        <d v="2024-02-23T00:00:00"/>
        <d v="2024-08-02T00:00:00"/>
        <d v="2024-08-23T00:00:00"/>
        <d v="2024-07-27T00:00:00"/>
        <d v="2024-10-14T00:00:00"/>
        <d v="2024-03-18T00:00:00"/>
        <d v="2024-03-01T00:00:00"/>
        <d v="2024-11-11T00:00:00"/>
        <d v="2024-03-04T00:00:00"/>
        <d v="2024-06-30T00:00:00"/>
        <d v="2024-03-27T00:00:00"/>
        <d v="2024-03-16T00:00:00"/>
        <d v="2024-12-13T00:00:00"/>
        <d v="2024-06-25T00:00:00"/>
        <d v="2024-08-21T00:00:00"/>
        <d v="2024-04-29T00:00:00"/>
        <d v="2024-01-18T00:00:00"/>
        <d v="2024-03-06T00:00:00"/>
        <d v="2024-02-28T00:00:00"/>
        <d v="2024-06-22T00:00:00"/>
        <d v="2024-02-25T00:00:00"/>
        <d v="2024-10-25T00:00:00"/>
        <d v="2024-09-05T00:00:00"/>
        <d v="2024-09-01T00:00:00"/>
        <d v="2024-11-09T00:00:00"/>
        <d v="2024-11-13T00:00:00"/>
        <d v="2024-11-29T00:00:00"/>
        <d v="2024-05-31T00:00:00"/>
        <d v="2024-10-19T00:00:00"/>
        <d v="2024-10-20T00:00:00"/>
        <d v="2024-07-09T00:00:00"/>
        <d v="2024-12-16T00:00:00"/>
        <d v="2024-10-04T00:00:00"/>
        <d v="2024-07-18T00:00:00"/>
        <d v="2024-08-27T00:00:00"/>
        <d v="2024-01-21T00:00:00"/>
        <d v="2024-04-25T00:00:00"/>
        <d v="2024-03-26T00:00:00"/>
        <d v="2024-08-12T00:00:00"/>
        <d v="2024-10-12T00:00:00"/>
        <d v="2024-07-31T00:00:00"/>
        <d v="2024-12-07T00:00:00"/>
        <d v="2024-08-18T00:00:00"/>
        <d v="2024-06-05T00:00:00"/>
        <d v="2024-12-02T00:00:00"/>
        <d v="2024-05-26T00:00:00"/>
        <d v="2024-05-21T00:00:00"/>
        <d v="2024-02-15T00:00:00"/>
        <d v="2024-02-12T00:00:00"/>
        <d v="2024-04-15T00:00:00"/>
        <d v="2024-09-11T00:00:00"/>
        <d v="2024-09-04T00:00:00"/>
        <d v="2025-01-02T00:00:00"/>
        <d v="2024-12-04T00:00:00"/>
        <d v="2024-02-03T00:00:00"/>
        <d v="2024-10-16T00:00:00"/>
        <d v="2024-02-20T00:00:00"/>
        <d v="2024-10-28T00:00:00"/>
        <d v="2024-01-14T00:00:00"/>
        <d v="2024-10-13T00:00:00"/>
        <d v="2025-01-06T00:00:00"/>
        <d v="2024-06-16T00:00:00"/>
        <d v="2024-03-20T00:00:00"/>
        <d v="2024-10-18T00:00:00"/>
        <d v="2024-01-27T00:00:00"/>
        <d v="2024-10-07T00:00:00"/>
        <d v="2024-12-17T00:00:00"/>
        <d v="2024-06-02T00:00:00"/>
        <d v="2024-04-06T00:00:00"/>
        <d v="2024-06-11T00:00:00"/>
        <d v="2024-05-14T00:00:00"/>
        <d v="2024-05-22T00:00:00"/>
        <d v="2024-05-01T00:00:00"/>
        <d v="2024-03-17T00:00:00"/>
        <d v="2024-10-17T00:00:00"/>
        <d v="2024-06-07T00:00:00"/>
        <d v="2024-12-26T00:00:00"/>
        <d v="2024-01-03T00:00:00"/>
        <d v="2024-06-29T00:00:00"/>
        <d v="2024-04-17T00:00:00"/>
        <d v="2024-08-16T00:00:00"/>
        <d v="2024-02-10T00:00:00"/>
        <d v="2024-08-06T00:00:00"/>
        <d v="2024-08-24T00:00:00"/>
        <d v="2024-05-13T00:00:00"/>
        <d v="2024-03-21T00:00:00"/>
        <d v="2024-01-11T00:00:00"/>
        <d v="2024-04-18T00:00:00"/>
        <d v="2024-09-19T00:00:00"/>
        <d v="2024-04-26T00:00:00"/>
        <d v="2024-06-27T00:00:00"/>
        <d v="2024-07-10T00:00:00"/>
        <d v="2024-05-08T00:00:00"/>
        <d v="2024-02-26T00:00:00"/>
        <d v="2024-04-12T00:00:00"/>
        <d v="2024-02-22T00:00:00"/>
        <d v="2024-06-08T00:00:00"/>
        <d v="2024-09-06T00:00:00"/>
        <d v="2024-12-09T00:00:00"/>
        <d v="2024-07-28T00:00:00"/>
        <d v="2024-07-26T00:00:00"/>
        <d v="2025-01-01T00:00:00"/>
        <d v="2024-05-02T00:00:00"/>
        <d v="2024-03-05T00:00:00"/>
        <d v="2024-12-24T00:00:00"/>
        <d v="2024-11-03T00:00:00"/>
        <d v="2024-07-07T00:00:00"/>
        <d v="2024-03-12T00:00:00"/>
        <d v="2024-05-23T00:00:00"/>
        <d v="2024-02-17T00:00:00"/>
        <d v="2024-04-22T00:00:00"/>
        <d v="2024-03-14T00:00:00"/>
        <d v="2025-01-08T00:00:00"/>
        <d v="2024-12-30T00:00:00"/>
        <d v="2024-11-08T00:00:00"/>
        <d v="2024-01-09T00:00:00"/>
        <d v="2024-05-19T00:00:00"/>
        <d v="2024-06-17T00:00:00"/>
        <d v="2024-09-22T00:00:00"/>
        <d v="2024-09-13T00:00:00"/>
        <d v="2024-09-30T00:00:00"/>
        <d v="2024-12-22T00:00:00"/>
        <d v="2024-06-20T00:00:00"/>
        <d v="2024-01-23T00:00:00"/>
        <d v="2024-10-30T00:00:00"/>
        <d v="2024-12-29T00:00:00"/>
        <d v="2024-03-13T00:00:00"/>
        <d v="2024-02-27T00:00:00"/>
        <d v="2024-06-14T00:00:00"/>
        <d v="2024-03-28T00:00:00"/>
        <d v="2024-12-03T00:00:00"/>
        <d v="2024-01-17T00:00:00"/>
        <d v="2024-11-28T00:00:00"/>
        <d v="2024-07-17T00:00:00"/>
        <d v="2024-12-20T00:00:00"/>
        <d v="2024-04-27T00:00:00"/>
        <d v="2024-04-08T00:00:00"/>
        <d v="2024-07-05T00:00:00"/>
        <d v="2024-09-24T00:00:00"/>
        <d v="2024-02-09T00:00:00"/>
        <d v="2024-10-08T00:00:00"/>
        <d v="2024-06-13T00:00:00"/>
        <d v="2024-04-04T00:00:00"/>
        <d v="2024-04-20T00:00:00"/>
        <d v="2024-08-05T00:00:00"/>
        <d v="2024-12-18T00:00:00"/>
        <d v="2024-07-03T00:00:00"/>
        <d v="2024-09-20T00:00:00"/>
        <d v="2024-12-01T00:00:00"/>
        <d v="2024-02-01T00:00:00"/>
        <d v="2024-04-02T00:00:00"/>
        <d v="2024-08-09T00:00:00"/>
        <d v="2025-01-05T00:00:00"/>
        <d v="2024-11-21T00:00:00"/>
        <d v="2024-09-18T00:00:00"/>
        <d v="2024-02-16T00:00:00"/>
        <d v="2024-08-25T00:00:00"/>
        <d v="2024-11-14T00:00:00"/>
        <d v="2024-02-24T00:00:00"/>
        <d v="2024-04-30T00:00:00"/>
        <d v="2024-10-11T00:00:00"/>
        <d v="2024-09-23T00:00:00"/>
        <d v="2024-09-10T00:00:00"/>
        <d v="2024-03-30T00:00:00"/>
        <d v="2024-08-08T00:00:00"/>
        <d v="2024-10-03T00:00:00"/>
        <d v="2024-12-05T00:00:00"/>
        <d v="2024-05-05T00:00:00"/>
        <d v="2024-11-10T00:00:00"/>
        <d v="2024-01-10T00:00:00"/>
        <d v="2024-05-03T00:00:00"/>
        <d v="2024-10-31T00:00:00"/>
        <d v="2024-01-08T00:00:00"/>
        <d v="2024-04-16T00:00:00"/>
        <d v="2024-11-18T00:00:00"/>
        <d v="2024-01-13T00:00:00"/>
        <d v="2024-04-24T00:00:00"/>
        <d v="2024-11-20T00:00:00"/>
        <d v="2024-05-10T00:00:00"/>
        <d v="2024-08-04T00:00:00"/>
        <d v="2024-03-15T00:00:00"/>
        <d v="2024-12-11T00:00:00"/>
        <d v="2024-03-29T00:00:00"/>
        <d v="2025-01-04T00:00:00"/>
        <d v="2024-04-10T00:00:00"/>
        <d v="2024-07-23T00:00:00"/>
        <d v="2024-03-23T00:00:00"/>
        <d v="2024-10-26T00:00:00"/>
        <d v="2024-06-26T00:00:00"/>
        <d v="2024-02-02T00:00:00"/>
        <d v="2024-03-22T00:00:00"/>
        <d v="2024-01-22T00:00:00"/>
        <d v="2024-11-19T00:00:00"/>
        <d v="2024-01-26T00:00:00"/>
        <d v="2024-11-02T00:00:00"/>
        <d v="2024-02-04T00:00:00"/>
        <d v="2024-11-12T00:00:00"/>
        <d v="2024-11-27T00:00:00"/>
        <d v="2024-08-31T00:00:00"/>
        <d v="2024-07-02T00:00:00"/>
        <d v="2024-02-29T00:00:00"/>
        <d v="2024-09-28T00:00:00"/>
        <d v="2024-05-30T00:00:00"/>
        <d v="2024-07-22T00:00:00"/>
        <d v="2025-01-09T00:00:00"/>
        <d v="2024-06-04T00:00:00"/>
        <d v="2024-09-17T00:00:00"/>
        <d v="2024-03-25T00:00:00"/>
        <d v="2024-05-18T00:00:00"/>
        <d v="2024-01-20T00:00:00"/>
        <d v="2024-07-29T00:00:00"/>
        <d v="2024-02-21T00:00:00"/>
        <d v="2024-01-24T00:00:00"/>
        <d v="2024-03-03T00:00:00"/>
        <d v="2024-09-08T00:00:00"/>
        <d v="2025-01-03T00:00:00"/>
        <d v="2024-07-15T00:00:00"/>
        <d v="2024-02-18T00:00:00"/>
        <d v="2024-01-16T00:00:00"/>
        <d v="2024-06-15T00:00:00"/>
        <d v="2024-02-08T00:00:00"/>
        <d v="2024-04-09T00:00:00"/>
        <d v="2024-12-23T00:00:00"/>
        <d v="2024-09-27T00:00:00"/>
        <d v="2024-05-27T00:00:00"/>
        <d v="2024-11-07T00:00:00"/>
        <d v="2024-09-15T00:00:00"/>
        <d v="2024-10-27T00:00:00"/>
        <d v="2024-05-29T00:00:00"/>
        <d v="2024-07-12T00:00:00"/>
        <d v="2024-09-02T00:00:00"/>
        <d v="2024-04-19T00:00:00"/>
        <d v="2024-10-22T00:00:00"/>
        <d v="2025-01-07T00:00:00"/>
        <d v="2024-07-11T00:00:00"/>
        <d v="2024-01-30T00:00:00"/>
        <d v="2024-07-20T00:00:00"/>
        <d v="2024-09-03T00:00:00"/>
        <d v="2024-03-31T00:00:00"/>
        <d v="2024-09-09T00:00:00"/>
        <d v="2024-05-16T00:00:00"/>
        <d v="2024-09-07T00:00:00"/>
        <d v="2024-06-12T00:00:00"/>
        <d v="2024-07-21T00:00:00"/>
        <d v="2024-04-14T00:00:00"/>
        <d v="2024-11-26T00:00:00"/>
        <d v="2024-07-13T00:00:00"/>
        <d v="2024-08-13T00:00:00"/>
        <d v="2024-12-25T00:00:00"/>
        <d v="2024-01-06T00:00:00"/>
        <d v="2024-03-19T00:00:00"/>
        <d v="2024-11-05T00:00:00"/>
        <d v="2024-06-06T00:00:00"/>
        <d v="2024-08-17T00:00:00"/>
        <d v="2024-07-01T00:00:00"/>
        <d v="2024-08-20T00:00:00"/>
        <d v="2024-08-01T00:00:00"/>
        <d v="2024-09-14T00:00:00"/>
        <d v="2024-11-06T00:00:00"/>
        <d v="2024-07-16T00:00:00"/>
        <d v="2024-07-04T00:00:00"/>
        <d v="2024-11-16T00:00:00"/>
        <d v="2024-01-19T00:00:00"/>
      </sharedItems>
      <fieldGroup par="14" base="8">
        <rangePr groupBy="months" startDate="2024-01-03T00:00:00" endDate="2025-01-10T00:00:00"/>
        <groupItems count="14">
          <s v="(blank)"/>
          <s v="Jan"/>
          <s v="Feb"/>
          <s v="Mar"/>
          <s v="Apr"/>
          <s v="May"/>
          <s v="Jun"/>
          <s v="Jul"/>
          <s v="Aug"/>
          <s v="Sep"/>
          <s v="Oct"/>
          <s v="Nov"/>
          <s v="Dec"/>
          <s v="&gt;10-01-2025"/>
        </groupItems>
      </fieldGroup>
    </cacheField>
    <cacheField name="Insurance_Type" numFmtId="0">
      <sharedItems count="2">
        <s v="Private"/>
        <s v="Government"/>
      </sharedItems>
    </cacheField>
    <cacheField name="City" numFmtId="0">
      <sharedItems count="6">
        <s v="Delhi"/>
        <s v="Pune"/>
        <s v="Chennai"/>
        <s v="Bangalore"/>
        <s v="Hyderabad"/>
        <s v="Mumbai"/>
      </sharedItems>
    </cacheField>
    <cacheField name="Processing_Days" numFmtId="0">
      <sharedItems containsString="0" containsBlank="1" containsNumber="1" containsInteger="1" minValue="1" maxValue="10" count="11">
        <n v="9"/>
        <n v="10"/>
        <m/>
        <n v="2"/>
        <n v="8"/>
        <n v="1"/>
        <n v="6"/>
        <n v="3"/>
        <n v="4"/>
        <n v="7"/>
        <n v="5"/>
      </sharedItems>
    </cacheField>
    <cacheField name="Claim_Month" numFmtId="0">
      <sharedItems count="12">
        <s v="Feb"/>
        <s v="Sep"/>
        <s v="May"/>
        <s v="Jun"/>
        <s v="Jan"/>
        <s v="Aug"/>
        <s v="Nov"/>
        <s v="Apr"/>
        <s v="Dec"/>
        <s v="Mar"/>
        <s v="Oct"/>
        <s v="Jul"/>
      </sharedItems>
    </cacheField>
    <cacheField name="Quarters" numFmtId="0" databaseField="0">
      <fieldGroup base="8">
        <rangePr groupBy="quarters" startDate="2024-01-03T00:00:00" endDate="2025-01-10T00:00:00"/>
        <groupItems count="6">
          <s v="&lt;03-01-2024"/>
          <s v="Qtr1"/>
          <s v="Qtr2"/>
          <s v="Qtr3"/>
          <s v="Qtr4"/>
          <s v="&gt;10-01-2025"/>
        </groupItems>
      </fieldGroup>
    </cacheField>
    <cacheField name="Years" numFmtId="0" databaseField="0">
      <fieldGroup base="8">
        <rangePr groupBy="years" startDate="2024-01-03T00:00:00" endDate="2025-01-10T00:00:00"/>
        <groupItems count="4">
          <s v="&lt;03-01-2024"/>
          <s v="2024"/>
          <s v="2025"/>
          <s v="&gt;10-01-2025"/>
        </groupItems>
      </fieldGroup>
    </cacheField>
  </cacheFields>
  <extLst>
    <ext xmlns:x14="http://schemas.microsoft.com/office/spreadsheetml/2009/9/main" uri="{725AE2AE-9491-48be-B2B4-4EB974FC3084}">
      <x14:pivotCacheDefinition pivotCacheId="10870503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s v="Priya Sharma"/>
    <x v="0"/>
    <s v="Migraine"/>
    <n v="18049"/>
    <n v="17764"/>
    <x v="0"/>
    <x v="0"/>
    <x v="0"/>
    <x v="0"/>
    <x v="0"/>
    <x v="0"/>
    <x v="0"/>
  </r>
  <r>
    <x v="1"/>
    <s v="Meena Gupta"/>
    <x v="0"/>
    <s v="Fever"/>
    <n v="8140"/>
    <n v="7664"/>
    <x v="0"/>
    <x v="1"/>
    <x v="1"/>
    <x v="0"/>
    <x v="0"/>
    <x v="1"/>
    <x v="1"/>
  </r>
  <r>
    <x v="2"/>
    <s v="Kiran Patel"/>
    <x v="1"/>
    <s v="Cardiac Issue"/>
    <n v="31439"/>
    <n v="0"/>
    <x v="1"/>
    <x v="2"/>
    <x v="2"/>
    <x v="0"/>
    <x v="1"/>
    <x v="2"/>
    <x v="2"/>
  </r>
  <r>
    <x v="3"/>
    <s v="Anil Reddy"/>
    <x v="1"/>
    <s v="Infection"/>
    <n v="20210"/>
    <n v="19770"/>
    <x v="0"/>
    <x v="3"/>
    <x v="3"/>
    <x v="0"/>
    <x v="2"/>
    <x v="3"/>
    <x v="3"/>
  </r>
  <r>
    <x v="4"/>
    <s v="Anil Reddy"/>
    <x v="2"/>
    <s v="Infection"/>
    <n v="41565"/>
    <n v="39913"/>
    <x v="0"/>
    <x v="4"/>
    <x v="4"/>
    <x v="0"/>
    <x v="2"/>
    <x v="4"/>
    <x v="4"/>
  </r>
  <r>
    <x v="5"/>
    <s v="Rahul Verma"/>
    <x v="2"/>
    <s v="Infection"/>
    <n v="39837"/>
    <n v="38395"/>
    <x v="0"/>
    <x v="5"/>
    <x v="5"/>
    <x v="0"/>
    <x v="1"/>
    <x v="5"/>
    <x v="0"/>
  </r>
  <r>
    <x v="6"/>
    <s v="Anil Reddy"/>
    <x v="0"/>
    <s v="Cardiac Issue"/>
    <n v="8619"/>
    <n v="8050"/>
    <x v="0"/>
    <x v="6"/>
    <x v="6"/>
    <x v="0"/>
    <x v="3"/>
    <x v="6"/>
    <x v="5"/>
  </r>
  <r>
    <x v="7"/>
    <s v="Meena Gupta"/>
    <x v="3"/>
    <s v="Migraine"/>
    <n v="47994"/>
    <n v="46747"/>
    <x v="0"/>
    <x v="7"/>
    <x v="7"/>
    <x v="0"/>
    <x v="4"/>
    <x v="7"/>
    <x v="6"/>
  </r>
  <r>
    <x v="8"/>
    <s v="Kiran Patel"/>
    <x v="1"/>
    <s v="Migraine"/>
    <n v="43943"/>
    <n v="0"/>
    <x v="1"/>
    <x v="8"/>
    <x v="2"/>
    <x v="1"/>
    <x v="1"/>
    <x v="2"/>
    <x v="7"/>
  </r>
  <r>
    <x v="9"/>
    <s v="Rohit Das"/>
    <x v="3"/>
    <s v="Fever"/>
    <n v="22673"/>
    <n v="22125"/>
    <x v="0"/>
    <x v="9"/>
    <x v="8"/>
    <x v="1"/>
    <x v="4"/>
    <x v="8"/>
    <x v="0"/>
  </r>
  <r>
    <x v="10"/>
    <s v="Rohit Das"/>
    <x v="1"/>
    <s v="Covid"/>
    <n v="11363"/>
    <n v="11078"/>
    <x v="0"/>
    <x v="10"/>
    <x v="9"/>
    <x v="1"/>
    <x v="5"/>
    <x v="0"/>
    <x v="2"/>
  </r>
  <r>
    <x v="11"/>
    <s v="Rahul Verma"/>
    <x v="1"/>
    <s v="Asthma"/>
    <n v="25723"/>
    <n v="25440"/>
    <x v="0"/>
    <x v="11"/>
    <x v="1"/>
    <x v="0"/>
    <x v="1"/>
    <x v="4"/>
    <x v="1"/>
  </r>
  <r>
    <x v="12"/>
    <s v="Ravi Kumar"/>
    <x v="0"/>
    <s v="Fracture"/>
    <n v="43120"/>
    <n v="41498"/>
    <x v="0"/>
    <x v="12"/>
    <x v="10"/>
    <x v="0"/>
    <x v="2"/>
    <x v="9"/>
    <x v="8"/>
  </r>
  <r>
    <x v="13"/>
    <s v="Meena Gupta"/>
    <x v="4"/>
    <s v="Migraine"/>
    <n v="38256"/>
    <n v="36863"/>
    <x v="0"/>
    <x v="13"/>
    <x v="11"/>
    <x v="1"/>
    <x v="1"/>
    <x v="0"/>
    <x v="0"/>
  </r>
  <r>
    <x v="14"/>
    <s v="Rahul Verma"/>
    <x v="0"/>
    <s v="Migraine"/>
    <n v="30492"/>
    <n v="29563"/>
    <x v="0"/>
    <x v="14"/>
    <x v="12"/>
    <x v="0"/>
    <x v="0"/>
    <x v="10"/>
    <x v="4"/>
  </r>
  <r>
    <x v="15"/>
    <s v="Priya Sharma"/>
    <x v="2"/>
    <s v="Cardiac Issue"/>
    <n v="12016"/>
    <n v="10455"/>
    <x v="0"/>
    <x v="15"/>
    <x v="13"/>
    <x v="0"/>
    <x v="0"/>
    <x v="0"/>
    <x v="9"/>
  </r>
  <r>
    <x v="16"/>
    <s v="Rahul Verma"/>
    <x v="4"/>
    <s v="Fever"/>
    <n v="9331"/>
    <n v="7532"/>
    <x v="0"/>
    <x v="16"/>
    <x v="14"/>
    <x v="0"/>
    <x v="4"/>
    <x v="8"/>
    <x v="3"/>
  </r>
  <r>
    <x v="17"/>
    <s v="Rohit Das"/>
    <x v="0"/>
    <s v="Diabetes"/>
    <n v="49966"/>
    <n v="48295"/>
    <x v="0"/>
    <x v="5"/>
    <x v="15"/>
    <x v="0"/>
    <x v="4"/>
    <x v="0"/>
    <x v="0"/>
  </r>
  <r>
    <x v="18"/>
    <s v="Arjun Singh"/>
    <x v="5"/>
    <s v="Migraine"/>
    <n v="36581"/>
    <n v="0"/>
    <x v="1"/>
    <x v="17"/>
    <x v="2"/>
    <x v="0"/>
    <x v="0"/>
    <x v="2"/>
    <x v="5"/>
  </r>
  <r>
    <x v="19"/>
    <s v="Kiran Patel"/>
    <x v="2"/>
    <s v="Asthma"/>
    <n v="46019"/>
    <n v="45122"/>
    <x v="0"/>
    <x v="18"/>
    <x v="16"/>
    <x v="0"/>
    <x v="4"/>
    <x v="4"/>
    <x v="1"/>
  </r>
  <r>
    <x v="20"/>
    <s v="Kiran Patel"/>
    <x v="0"/>
    <s v="Infection"/>
    <n v="3378"/>
    <n v="0"/>
    <x v="1"/>
    <x v="19"/>
    <x v="2"/>
    <x v="0"/>
    <x v="0"/>
    <x v="2"/>
    <x v="10"/>
  </r>
  <r>
    <x v="21"/>
    <s v="Kiran Patel"/>
    <x v="0"/>
    <s v="Diabetes"/>
    <n v="48389"/>
    <n v="47921"/>
    <x v="0"/>
    <x v="20"/>
    <x v="17"/>
    <x v="1"/>
    <x v="4"/>
    <x v="5"/>
    <x v="0"/>
  </r>
  <r>
    <x v="22"/>
    <s v="Kavya Nair"/>
    <x v="3"/>
    <s v="Migraine"/>
    <n v="45842"/>
    <n v="45404"/>
    <x v="0"/>
    <x v="21"/>
    <x v="18"/>
    <x v="1"/>
    <x v="4"/>
    <x v="7"/>
    <x v="10"/>
  </r>
  <r>
    <x v="23"/>
    <s v="Arjun Singh"/>
    <x v="1"/>
    <s v="Cardiac Issue"/>
    <n v="8181"/>
    <n v="6832"/>
    <x v="0"/>
    <x v="22"/>
    <x v="19"/>
    <x v="1"/>
    <x v="2"/>
    <x v="6"/>
    <x v="5"/>
  </r>
  <r>
    <x v="24"/>
    <s v="Arjun Singh"/>
    <x v="0"/>
    <s v="Diabetes"/>
    <n v="5972"/>
    <n v="4481"/>
    <x v="0"/>
    <x v="23"/>
    <x v="20"/>
    <x v="0"/>
    <x v="4"/>
    <x v="3"/>
    <x v="3"/>
  </r>
  <r>
    <x v="25"/>
    <s v="Kiran Patel"/>
    <x v="4"/>
    <s v="Fracture"/>
    <n v="29648"/>
    <n v="29078"/>
    <x v="0"/>
    <x v="24"/>
    <x v="21"/>
    <x v="0"/>
    <x v="2"/>
    <x v="8"/>
    <x v="5"/>
  </r>
  <r>
    <x v="26"/>
    <s v="Kavya Nair"/>
    <x v="0"/>
    <s v="Fever"/>
    <n v="44738"/>
    <n v="0"/>
    <x v="1"/>
    <x v="25"/>
    <x v="2"/>
    <x v="0"/>
    <x v="1"/>
    <x v="2"/>
    <x v="4"/>
  </r>
  <r>
    <x v="27"/>
    <s v="Kiran Patel"/>
    <x v="5"/>
    <s v="Asthma"/>
    <n v="33826"/>
    <n v="33389"/>
    <x v="0"/>
    <x v="26"/>
    <x v="22"/>
    <x v="0"/>
    <x v="2"/>
    <x v="5"/>
    <x v="11"/>
  </r>
  <r>
    <x v="28"/>
    <s v="Ravi Kumar"/>
    <x v="1"/>
    <s v="Migraine"/>
    <n v="31819"/>
    <n v="30953"/>
    <x v="0"/>
    <x v="27"/>
    <x v="23"/>
    <x v="1"/>
    <x v="4"/>
    <x v="0"/>
    <x v="8"/>
  </r>
  <r>
    <x v="29"/>
    <s v="Kiran Patel"/>
    <x v="2"/>
    <s v="Cardiac Issue"/>
    <n v="5832"/>
    <n v="0"/>
    <x v="1"/>
    <x v="28"/>
    <x v="2"/>
    <x v="0"/>
    <x v="5"/>
    <x v="2"/>
    <x v="10"/>
  </r>
  <r>
    <x v="30"/>
    <s v="Rahul Verma"/>
    <x v="0"/>
    <s v="Fever"/>
    <n v="40284"/>
    <n v="39255"/>
    <x v="0"/>
    <x v="29"/>
    <x v="24"/>
    <x v="0"/>
    <x v="0"/>
    <x v="7"/>
    <x v="1"/>
  </r>
  <r>
    <x v="31"/>
    <s v="Priya Sharma"/>
    <x v="5"/>
    <s v="Diabetes"/>
    <n v="40996"/>
    <n v="39614"/>
    <x v="0"/>
    <x v="30"/>
    <x v="25"/>
    <x v="0"/>
    <x v="0"/>
    <x v="9"/>
    <x v="7"/>
  </r>
  <r>
    <x v="32"/>
    <s v="Kiran Patel"/>
    <x v="0"/>
    <s v="Diabetes"/>
    <n v="29474"/>
    <n v="0"/>
    <x v="1"/>
    <x v="31"/>
    <x v="2"/>
    <x v="1"/>
    <x v="3"/>
    <x v="2"/>
    <x v="10"/>
  </r>
  <r>
    <x v="33"/>
    <s v="Kiran Patel"/>
    <x v="2"/>
    <s v="Cardiac Issue"/>
    <n v="19407"/>
    <n v="19139"/>
    <x v="0"/>
    <x v="32"/>
    <x v="26"/>
    <x v="1"/>
    <x v="3"/>
    <x v="10"/>
    <x v="8"/>
  </r>
  <r>
    <x v="34"/>
    <s v="Priya Sharma"/>
    <x v="0"/>
    <s v="Covid"/>
    <n v="42708"/>
    <n v="0"/>
    <x v="1"/>
    <x v="33"/>
    <x v="2"/>
    <x v="0"/>
    <x v="0"/>
    <x v="2"/>
    <x v="0"/>
  </r>
  <r>
    <x v="35"/>
    <s v="Kiran Patel"/>
    <x v="2"/>
    <s v="Fracture"/>
    <n v="24872"/>
    <n v="23072"/>
    <x v="0"/>
    <x v="34"/>
    <x v="27"/>
    <x v="1"/>
    <x v="4"/>
    <x v="6"/>
    <x v="2"/>
  </r>
  <r>
    <x v="36"/>
    <s v="Arjun Singh"/>
    <x v="2"/>
    <s v="Fever"/>
    <n v="45769"/>
    <n v="0"/>
    <x v="1"/>
    <x v="35"/>
    <x v="2"/>
    <x v="0"/>
    <x v="4"/>
    <x v="2"/>
    <x v="3"/>
  </r>
  <r>
    <x v="37"/>
    <s v="Sneha Iyer"/>
    <x v="0"/>
    <s v="Diabetes"/>
    <n v="38256"/>
    <n v="37699"/>
    <x v="0"/>
    <x v="36"/>
    <x v="28"/>
    <x v="0"/>
    <x v="5"/>
    <x v="1"/>
    <x v="2"/>
  </r>
  <r>
    <x v="38"/>
    <s v="Rahul Verma"/>
    <x v="3"/>
    <s v="Migraine"/>
    <n v="35122"/>
    <n v="34608"/>
    <x v="0"/>
    <x v="37"/>
    <x v="29"/>
    <x v="1"/>
    <x v="1"/>
    <x v="3"/>
    <x v="4"/>
  </r>
  <r>
    <x v="39"/>
    <s v="Sneha Iyer"/>
    <x v="0"/>
    <s v="Fever"/>
    <n v="23859"/>
    <n v="22555"/>
    <x v="0"/>
    <x v="38"/>
    <x v="30"/>
    <x v="1"/>
    <x v="0"/>
    <x v="7"/>
    <x v="2"/>
  </r>
  <r>
    <x v="40"/>
    <s v="Meena Gupta"/>
    <x v="0"/>
    <s v="Diabetes"/>
    <n v="6931"/>
    <n v="5814"/>
    <x v="0"/>
    <x v="39"/>
    <x v="31"/>
    <x v="0"/>
    <x v="2"/>
    <x v="6"/>
    <x v="4"/>
  </r>
  <r>
    <x v="41"/>
    <s v="Anil Reddy"/>
    <x v="0"/>
    <s v="Migraine"/>
    <n v="25897"/>
    <n v="24057"/>
    <x v="0"/>
    <x v="40"/>
    <x v="32"/>
    <x v="0"/>
    <x v="5"/>
    <x v="8"/>
    <x v="11"/>
  </r>
  <r>
    <x v="42"/>
    <s v="Priya Sharma"/>
    <x v="2"/>
    <s v="Asthma"/>
    <n v="42675"/>
    <n v="40780"/>
    <x v="0"/>
    <x v="41"/>
    <x v="33"/>
    <x v="0"/>
    <x v="2"/>
    <x v="7"/>
    <x v="2"/>
  </r>
  <r>
    <x v="43"/>
    <s v="Ravi Kumar"/>
    <x v="5"/>
    <s v="Infection"/>
    <n v="28982"/>
    <n v="28436"/>
    <x v="0"/>
    <x v="42"/>
    <x v="34"/>
    <x v="1"/>
    <x v="1"/>
    <x v="3"/>
    <x v="9"/>
  </r>
  <r>
    <x v="44"/>
    <s v="Ravi Kumar"/>
    <x v="4"/>
    <s v="Cardiac Issue"/>
    <n v="15079"/>
    <n v="14363"/>
    <x v="0"/>
    <x v="43"/>
    <x v="35"/>
    <x v="0"/>
    <x v="4"/>
    <x v="8"/>
    <x v="3"/>
  </r>
  <r>
    <x v="45"/>
    <s v="Kiran Patel"/>
    <x v="1"/>
    <s v="Infection"/>
    <n v="20258"/>
    <n v="18278"/>
    <x v="0"/>
    <x v="2"/>
    <x v="36"/>
    <x v="1"/>
    <x v="5"/>
    <x v="6"/>
    <x v="2"/>
  </r>
  <r>
    <x v="46"/>
    <s v="Kavya Nair"/>
    <x v="2"/>
    <s v="Fever"/>
    <n v="9559"/>
    <n v="9194"/>
    <x v="0"/>
    <x v="44"/>
    <x v="37"/>
    <x v="0"/>
    <x v="4"/>
    <x v="10"/>
    <x v="10"/>
  </r>
  <r>
    <x v="47"/>
    <s v="Rohit Das"/>
    <x v="1"/>
    <s v="Infection"/>
    <n v="49745"/>
    <n v="48852"/>
    <x v="0"/>
    <x v="45"/>
    <x v="38"/>
    <x v="0"/>
    <x v="2"/>
    <x v="0"/>
    <x v="6"/>
  </r>
  <r>
    <x v="48"/>
    <s v="Rohit Das"/>
    <x v="3"/>
    <s v="Migraine"/>
    <n v="4908"/>
    <n v="4905"/>
    <x v="0"/>
    <x v="46"/>
    <x v="39"/>
    <x v="0"/>
    <x v="3"/>
    <x v="0"/>
    <x v="1"/>
  </r>
  <r>
    <x v="49"/>
    <s v="Meena Gupta"/>
    <x v="0"/>
    <s v="Infection"/>
    <n v="42839"/>
    <n v="41481"/>
    <x v="0"/>
    <x v="47"/>
    <x v="40"/>
    <x v="1"/>
    <x v="5"/>
    <x v="10"/>
    <x v="9"/>
  </r>
  <r>
    <x v="50"/>
    <s v="Meena Gupta"/>
    <x v="2"/>
    <s v="Asthma"/>
    <n v="47692"/>
    <n v="46557"/>
    <x v="0"/>
    <x v="48"/>
    <x v="41"/>
    <x v="1"/>
    <x v="5"/>
    <x v="8"/>
    <x v="9"/>
  </r>
  <r>
    <x v="51"/>
    <s v="Meena Gupta"/>
    <x v="5"/>
    <s v="Migraine"/>
    <n v="28612"/>
    <n v="0"/>
    <x v="1"/>
    <x v="49"/>
    <x v="2"/>
    <x v="1"/>
    <x v="3"/>
    <x v="2"/>
    <x v="4"/>
  </r>
  <r>
    <x v="52"/>
    <s v="Kiran Patel"/>
    <x v="1"/>
    <s v="Infection"/>
    <n v="32473"/>
    <n v="31568"/>
    <x v="0"/>
    <x v="50"/>
    <x v="42"/>
    <x v="1"/>
    <x v="1"/>
    <x v="8"/>
    <x v="8"/>
  </r>
  <r>
    <x v="53"/>
    <s v="Anil Reddy"/>
    <x v="0"/>
    <s v="Migraine"/>
    <n v="35780"/>
    <n v="0"/>
    <x v="1"/>
    <x v="51"/>
    <x v="2"/>
    <x v="0"/>
    <x v="1"/>
    <x v="2"/>
    <x v="3"/>
  </r>
  <r>
    <x v="54"/>
    <s v="Kiran Patel"/>
    <x v="2"/>
    <s v="Cardiac Issue"/>
    <n v="15050"/>
    <n v="15000"/>
    <x v="0"/>
    <x v="52"/>
    <x v="43"/>
    <x v="1"/>
    <x v="0"/>
    <x v="8"/>
    <x v="4"/>
  </r>
  <r>
    <x v="55"/>
    <s v="Priya Sharma"/>
    <x v="4"/>
    <s v="Asthma"/>
    <n v="43272"/>
    <n v="0"/>
    <x v="1"/>
    <x v="53"/>
    <x v="2"/>
    <x v="1"/>
    <x v="2"/>
    <x v="2"/>
    <x v="7"/>
  </r>
  <r>
    <x v="56"/>
    <s v="Meena Gupta"/>
    <x v="3"/>
    <s v="Fracture"/>
    <n v="44995"/>
    <n v="43167"/>
    <x v="0"/>
    <x v="54"/>
    <x v="0"/>
    <x v="0"/>
    <x v="4"/>
    <x v="9"/>
    <x v="0"/>
  </r>
  <r>
    <x v="57"/>
    <s v="Kavya Nair"/>
    <x v="4"/>
    <s v="Fever"/>
    <n v="38530"/>
    <n v="36652"/>
    <x v="0"/>
    <x v="55"/>
    <x v="44"/>
    <x v="0"/>
    <x v="1"/>
    <x v="4"/>
    <x v="9"/>
  </r>
  <r>
    <x v="58"/>
    <s v="Arjun Singh"/>
    <x v="2"/>
    <s v="Covid"/>
    <n v="42150"/>
    <n v="0"/>
    <x v="1"/>
    <x v="56"/>
    <x v="2"/>
    <x v="1"/>
    <x v="4"/>
    <x v="2"/>
    <x v="5"/>
  </r>
  <r>
    <x v="59"/>
    <s v="Arjun Singh"/>
    <x v="4"/>
    <s v="Migraine"/>
    <n v="18203"/>
    <n v="16635"/>
    <x v="0"/>
    <x v="46"/>
    <x v="24"/>
    <x v="0"/>
    <x v="3"/>
    <x v="4"/>
    <x v="1"/>
  </r>
  <r>
    <x v="60"/>
    <s v="Arjun Singh"/>
    <x v="0"/>
    <s v="Migraine"/>
    <n v="17367"/>
    <n v="16680"/>
    <x v="0"/>
    <x v="57"/>
    <x v="45"/>
    <x v="0"/>
    <x v="4"/>
    <x v="0"/>
    <x v="3"/>
  </r>
  <r>
    <x v="61"/>
    <s v="Anil Reddy"/>
    <x v="3"/>
    <s v="Asthma"/>
    <n v="47478"/>
    <n v="46032"/>
    <x v="0"/>
    <x v="58"/>
    <x v="46"/>
    <x v="1"/>
    <x v="2"/>
    <x v="3"/>
    <x v="7"/>
  </r>
  <r>
    <x v="62"/>
    <s v="Rahul Verma"/>
    <x v="4"/>
    <s v="Asthma"/>
    <n v="6080"/>
    <n v="4375"/>
    <x v="0"/>
    <x v="59"/>
    <x v="47"/>
    <x v="0"/>
    <x v="1"/>
    <x v="9"/>
    <x v="5"/>
  </r>
  <r>
    <x v="63"/>
    <s v="Rohit Das"/>
    <x v="1"/>
    <s v="Covid"/>
    <n v="2386"/>
    <n v="1775"/>
    <x v="0"/>
    <x v="60"/>
    <x v="22"/>
    <x v="0"/>
    <x v="2"/>
    <x v="9"/>
    <x v="11"/>
  </r>
  <r>
    <x v="64"/>
    <s v="Kiran Patel"/>
    <x v="2"/>
    <s v="Asthma"/>
    <n v="33827"/>
    <n v="33031"/>
    <x v="0"/>
    <x v="3"/>
    <x v="48"/>
    <x v="0"/>
    <x v="1"/>
    <x v="9"/>
    <x v="3"/>
  </r>
  <r>
    <x v="65"/>
    <s v="Arjun Singh"/>
    <x v="5"/>
    <s v="Fever"/>
    <n v="27822"/>
    <n v="0"/>
    <x v="1"/>
    <x v="61"/>
    <x v="2"/>
    <x v="0"/>
    <x v="4"/>
    <x v="2"/>
    <x v="10"/>
  </r>
  <r>
    <x v="66"/>
    <s v="Meena Gupta"/>
    <x v="5"/>
    <s v="Covid"/>
    <n v="13909"/>
    <n v="13377"/>
    <x v="0"/>
    <x v="62"/>
    <x v="49"/>
    <x v="0"/>
    <x v="2"/>
    <x v="6"/>
    <x v="11"/>
  </r>
  <r>
    <x v="67"/>
    <s v="Rahul Verma"/>
    <x v="2"/>
    <s v="Asthma"/>
    <n v="20235"/>
    <n v="19719"/>
    <x v="0"/>
    <x v="63"/>
    <x v="50"/>
    <x v="0"/>
    <x v="5"/>
    <x v="4"/>
    <x v="0"/>
  </r>
  <r>
    <x v="68"/>
    <s v="Kavya Nair"/>
    <x v="0"/>
    <s v="Infection"/>
    <n v="16694"/>
    <n v="15095"/>
    <x v="0"/>
    <x v="64"/>
    <x v="51"/>
    <x v="0"/>
    <x v="4"/>
    <x v="5"/>
    <x v="6"/>
  </r>
  <r>
    <x v="69"/>
    <s v="Kiran Patel"/>
    <x v="0"/>
    <s v="Fracture"/>
    <n v="17633"/>
    <n v="16664"/>
    <x v="0"/>
    <x v="65"/>
    <x v="52"/>
    <x v="0"/>
    <x v="2"/>
    <x v="3"/>
    <x v="8"/>
  </r>
  <r>
    <x v="70"/>
    <s v="Sneha Iyer"/>
    <x v="2"/>
    <s v="Fracture"/>
    <n v="41707"/>
    <n v="0"/>
    <x v="1"/>
    <x v="13"/>
    <x v="2"/>
    <x v="0"/>
    <x v="3"/>
    <x v="2"/>
    <x v="0"/>
  </r>
  <r>
    <x v="71"/>
    <s v="Priya Sharma"/>
    <x v="0"/>
    <s v="Migraine"/>
    <n v="39735"/>
    <n v="38923"/>
    <x v="0"/>
    <x v="66"/>
    <x v="53"/>
    <x v="0"/>
    <x v="4"/>
    <x v="3"/>
    <x v="7"/>
  </r>
  <r>
    <x v="72"/>
    <s v="Sneha Iyer"/>
    <x v="0"/>
    <s v="Fever"/>
    <n v="24754"/>
    <n v="0"/>
    <x v="1"/>
    <x v="67"/>
    <x v="2"/>
    <x v="1"/>
    <x v="4"/>
    <x v="2"/>
    <x v="5"/>
  </r>
  <r>
    <x v="73"/>
    <s v="Kavya Nair"/>
    <x v="2"/>
    <s v="Fever"/>
    <n v="29528"/>
    <n v="29312"/>
    <x v="0"/>
    <x v="68"/>
    <x v="54"/>
    <x v="1"/>
    <x v="5"/>
    <x v="6"/>
    <x v="5"/>
  </r>
  <r>
    <x v="74"/>
    <s v="Anil Reddy"/>
    <x v="1"/>
    <s v="Fracture"/>
    <n v="36193"/>
    <n v="34932"/>
    <x v="0"/>
    <x v="69"/>
    <x v="55"/>
    <x v="1"/>
    <x v="2"/>
    <x v="4"/>
    <x v="10"/>
  </r>
  <r>
    <x v="75"/>
    <s v="Rohit Das"/>
    <x v="2"/>
    <s v="Infection"/>
    <n v="18088"/>
    <n v="17517"/>
    <x v="0"/>
    <x v="70"/>
    <x v="56"/>
    <x v="1"/>
    <x v="0"/>
    <x v="8"/>
    <x v="5"/>
  </r>
  <r>
    <x v="76"/>
    <s v="Rohit Das"/>
    <x v="1"/>
    <s v="Infection"/>
    <n v="3880"/>
    <n v="2138"/>
    <x v="0"/>
    <x v="71"/>
    <x v="57"/>
    <x v="1"/>
    <x v="4"/>
    <x v="7"/>
    <x v="3"/>
  </r>
  <r>
    <x v="77"/>
    <s v="Rahul Verma"/>
    <x v="2"/>
    <s v="Infection"/>
    <n v="20327"/>
    <n v="0"/>
    <x v="1"/>
    <x v="72"/>
    <x v="2"/>
    <x v="1"/>
    <x v="0"/>
    <x v="2"/>
    <x v="8"/>
  </r>
  <r>
    <x v="78"/>
    <s v="Ravi Kumar"/>
    <x v="3"/>
    <s v="Diabetes"/>
    <n v="17817"/>
    <n v="16817"/>
    <x v="0"/>
    <x v="73"/>
    <x v="58"/>
    <x v="1"/>
    <x v="5"/>
    <x v="8"/>
    <x v="10"/>
  </r>
  <r>
    <x v="79"/>
    <s v="Arjun Singh"/>
    <x v="4"/>
    <s v="Fever"/>
    <n v="8098"/>
    <n v="7645"/>
    <x v="0"/>
    <x v="74"/>
    <x v="59"/>
    <x v="1"/>
    <x v="5"/>
    <x v="8"/>
    <x v="11"/>
  </r>
  <r>
    <x v="80"/>
    <s v="Rohit Das"/>
    <x v="2"/>
    <s v="Covid"/>
    <n v="38272"/>
    <n v="0"/>
    <x v="1"/>
    <x v="75"/>
    <x v="2"/>
    <x v="1"/>
    <x v="5"/>
    <x v="2"/>
    <x v="3"/>
  </r>
  <r>
    <x v="81"/>
    <s v="Kavya Nair"/>
    <x v="2"/>
    <s v="Infection"/>
    <n v="48062"/>
    <n v="47508"/>
    <x v="0"/>
    <x v="43"/>
    <x v="14"/>
    <x v="0"/>
    <x v="4"/>
    <x v="10"/>
    <x v="3"/>
  </r>
  <r>
    <x v="82"/>
    <s v="Kiran Patel"/>
    <x v="2"/>
    <s v="Diabetes"/>
    <n v="37118"/>
    <n v="36726"/>
    <x v="0"/>
    <x v="76"/>
    <x v="60"/>
    <x v="1"/>
    <x v="5"/>
    <x v="4"/>
    <x v="7"/>
  </r>
  <r>
    <x v="83"/>
    <s v="Rohit Das"/>
    <x v="2"/>
    <s v="Diabetes"/>
    <n v="14721"/>
    <n v="14256"/>
    <x v="0"/>
    <x v="77"/>
    <x v="32"/>
    <x v="1"/>
    <x v="4"/>
    <x v="7"/>
    <x v="11"/>
  </r>
  <r>
    <x v="84"/>
    <s v="Kavya Nair"/>
    <x v="5"/>
    <s v="Migraine"/>
    <n v="4982"/>
    <n v="3849"/>
    <x v="0"/>
    <x v="78"/>
    <x v="61"/>
    <x v="1"/>
    <x v="4"/>
    <x v="7"/>
    <x v="2"/>
  </r>
  <r>
    <x v="85"/>
    <s v="Ravi Kumar"/>
    <x v="2"/>
    <s v="Covid"/>
    <n v="33373"/>
    <n v="32676"/>
    <x v="0"/>
    <x v="79"/>
    <x v="62"/>
    <x v="1"/>
    <x v="1"/>
    <x v="5"/>
    <x v="7"/>
  </r>
  <r>
    <x v="86"/>
    <s v="Arjun Singh"/>
    <x v="0"/>
    <s v="Diabetes"/>
    <n v="28260"/>
    <n v="28109"/>
    <x v="0"/>
    <x v="80"/>
    <x v="63"/>
    <x v="0"/>
    <x v="4"/>
    <x v="5"/>
    <x v="10"/>
  </r>
  <r>
    <x v="87"/>
    <s v="Rohit Das"/>
    <x v="2"/>
    <s v="Diabetes"/>
    <n v="18265"/>
    <n v="17123"/>
    <x v="0"/>
    <x v="81"/>
    <x v="64"/>
    <x v="0"/>
    <x v="1"/>
    <x v="1"/>
    <x v="5"/>
  </r>
  <r>
    <x v="88"/>
    <s v="Kavya Nair"/>
    <x v="1"/>
    <s v="Covid"/>
    <n v="31014"/>
    <n v="29253"/>
    <x v="0"/>
    <x v="82"/>
    <x v="65"/>
    <x v="1"/>
    <x v="0"/>
    <x v="9"/>
    <x v="10"/>
  </r>
  <r>
    <x v="89"/>
    <s v="Rohit Das"/>
    <x v="0"/>
    <s v="Diabetes"/>
    <n v="15617"/>
    <n v="15076"/>
    <x v="0"/>
    <x v="83"/>
    <x v="66"/>
    <x v="0"/>
    <x v="4"/>
    <x v="3"/>
    <x v="8"/>
  </r>
  <r>
    <x v="90"/>
    <s v="Anil Reddy"/>
    <x v="0"/>
    <s v="Fracture"/>
    <n v="2175"/>
    <n v="1253"/>
    <x v="0"/>
    <x v="84"/>
    <x v="67"/>
    <x v="1"/>
    <x v="3"/>
    <x v="1"/>
    <x v="8"/>
  </r>
  <r>
    <x v="91"/>
    <s v="Ravi Kumar"/>
    <x v="3"/>
    <s v="Migraine"/>
    <n v="48331"/>
    <n v="46892"/>
    <x v="0"/>
    <x v="6"/>
    <x v="56"/>
    <x v="0"/>
    <x v="3"/>
    <x v="3"/>
    <x v="5"/>
  </r>
  <r>
    <x v="92"/>
    <s v="Rohit Das"/>
    <x v="3"/>
    <s v="Asthma"/>
    <n v="9521"/>
    <n v="0"/>
    <x v="1"/>
    <x v="85"/>
    <x v="2"/>
    <x v="0"/>
    <x v="3"/>
    <x v="2"/>
    <x v="7"/>
  </r>
  <r>
    <x v="93"/>
    <s v="Anil Reddy"/>
    <x v="0"/>
    <s v="Fever"/>
    <n v="12873"/>
    <n v="11655"/>
    <x v="0"/>
    <x v="86"/>
    <x v="63"/>
    <x v="1"/>
    <x v="4"/>
    <x v="10"/>
    <x v="10"/>
  </r>
  <r>
    <x v="94"/>
    <s v="Arjun Singh"/>
    <x v="2"/>
    <s v="Asthma"/>
    <n v="19841"/>
    <n v="0"/>
    <x v="1"/>
    <x v="21"/>
    <x v="2"/>
    <x v="1"/>
    <x v="2"/>
    <x v="2"/>
    <x v="10"/>
  </r>
  <r>
    <x v="95"/>
    <s v="Priya Sharma"/>
    <x v="0"/>
    <s v="Asthma"/>
    <n v="23123"/>
    <n v="0"/>
    <x v="1"/>
    <x v="87"/>
    <x v="2"/>
    <x v="0"/>
    <x v="4"/>
    <x v="2"/>
    <x v="2"/>
  </r>
  <r>
    <x v="96"/>
    <s v="Kiran Patel"/>
    <x v="0"/>
    <s v="Migraine"/>
    <n v="39764"/>
    <n v="38202"/>
    <x v="0"/>
    <x v="88"/>
    <x v="68"/>
    <x v="1"/>
    <x v="3"/>
    <x v="4"/>
    <x v="9"/>
  </r>
  <r>
    <x v="97"/>
    <s v="Anil Reddy"/>
    <x v="1"/>
    <s v="Covid"/>
    <n v="7979"/>
    <n v="7267"/>
    <x v="0"/>
    <x v="89"/>
    <x v="69"/>
    <x v="1"/>
    <x v="5"/>
    <x v="6"/>
    <x v="11"/>
  </r>
  <r>
    <x v="98"/>
    <s v="Priya Sharma"/>
    <x v="5"/>
    <s v="Infection"/>
    <n v="28977"/>
    <n v="28387"/>
    <x v="0"/>
    <x v="90"/>
    <x v="70"/>
    <x v="0"/>
    <x v="2"/>
    <x v="9"/>
    <x v="8"/>
  </r>
  <r>
    <x v="99"/>
    <s v="Priya Sharma"/>
    <x v="2"/>
    <s v="Migraine"/>
    <n v="23186"/>
    <n v="21200"/>
    <x v="0"/>
    <x v="91"/>
    <x v="69"/>
    <x v="0"/>
    <x v="5"/>
    <x v="0"/>
    <x v="11"/>
  </r>
  <r>
    <x v="100"/>
    <s v="Kavya Nair"/>
    <x v="4"/>
    <s v="Asthma"/>
    <n v="5552"/>
    <n v="4491"/>
    <x v="0"/>
    <x v="92"/>
    <x v="71"/>
    <x v="1"/>
    <x v="5"/>
    <x v="1"/>
    <x v="11"/>
  </r>
  <r>
    <x v="101"/>
    <s v="Arjun Singh"/>
    <x v="0"/>
    <s v="Cardiac Issue"/>
    <n v="19501"/>
    <n v="0"/>
    <x v="1"/>
    <x v="93"/>
    <x v="2"/>
    <x v="1"/>
    <x v="2"/>
    <x v="2"/>
    <x v="9"/>
  </r>
  <r>
    <x v="102"/>
    <s v="Arjun Singh"/>
    <x v="0"/>
    <s v="Fever"/>
    <n v="43289"/>
    <n v="0"/>
    <x v="1"/>
    <x v="94"/>
    <x v="2"/>
    <x v="0"/>
    <x v="3"/>
    <x v="2"/>
    <x v="2"/>
  </r>
  <r>
    <x v="103"/>
    <s v="Kavya Nair"/>
    <x v="0"/>
    <s v="Asthma"/>
    <n v="8108"/>
    <n v="6385"/>
    <x v="0"/>
    <x v="13"/>
    <x v="72"/>
    <x v="0"/>
    <x v="5"/>
    <x v="4"/>
    <x v="0"/>
  </r>
  <r>
    <x v="104"/>
    <s v="Anil Reddy"/>
    <x v="4"/>
    <s v="Migraine"/>
    <n v="35349"/>
    <n v="34499"/>
    <x v="0"/>
    <x v="95"/>
    <x v="73"/>
    <x v="0"/>
    <x v="2"/>
    <x v="4"/>
    <x v="1"/>
  </r>
  <r>
    <x v="105"/>
    <s v="Kavya Nair"/>
    <x v="5"/>
    <s v="Asthma"/>
    <n v="14491"/>
    <n v="0"/>
    <x v="1"/>
    <x v="11"/>
    <x v="2"/>
    <x v="0"/>
    <x v="1"/>
    <x v="2"/>
    <x v="1"/>
  </r>
  <r>
    <x v="106"/>
    <s v="Priya Sharma"/>
    <x v="2"/>
    <s v="Asthma"/>
    <n v="24274"/>
    <n v="0"/>
    <x v="1"/>
    <x v="96"/>
    <x v="2"/>
    <x v="0"/>
    <x v="3"/>
    <x v="2"/>
    <x v="2"/>
  </r>
  <r>
    <x v="107"/>
    <s v="Sneha Iyer"/>
    <x v="4"/>
    <s v="Fracture"/>
    <n v="31264"/>
    <n v="0"/>
    <x v="1"/>
    <x v="95"/>
    <x v="2"/>
    <x v="1"/>
    <x v="3"/>
    <x v="2"/>
    <x v="1"/>
  </r>
  <r>
    <x v="108"/>
    <s v="Kavya Nair"/>
    <x v="1"/>
    <s v="Covid"/>
    <n v="23088"/>
    <n v="21660"/>
    <x v="0"/>
    <x v="94"/>
    <x v="74"/>
    <x v="1"/>
    <x v="4"/>
    <x v="1"/>
    <x v="2"/>
  </r>
  <r>
    <x v="109"/>
    <s v="Meena Gupta"/>
    <x v="0"/>
    <s v="Infection"/>
    <n v="32996"/>
    <n v="32206"/>
    <x v="0"/>
    <x v="90"/>
    <x v="75"/>
    <x v="1"/>
    <x v="4"/>
    <x v="7"/>
    <x v="8"/>
  </r>
  <r>
    <x v="110"/>
    <s v="Anil Reddy"/>
    <x v="2"/>
    <s v="Diabetes"/>
    <n v="30855"/>
    <n v="29778"/>
    <x v="0"/>
    <x v="97"/>
    <x v="56"/>
    <x v="0"/>
    <x v="2"/>
    <x v="5"/>
    <x v="5"/>
  </r>
  <r>
    <x v="111"/>
    <s v="Anil Reddy"/>
    <x v="0"/>
    <s v="Covid"/>
    <n v="19368"/>
    <n v="18092"/>
    <x v="0"/>
    <x v="98"/>
    <x v="76"/>
    <x v="0"/>
    <x v="1"/>
    <x v="9"/>
    <x v="8"/>
  </r>
  <r>
    <x v="112"/>
    <s v="Rahul Verma"/>
    <x v="1"/>
    <s v="Infection"/>
    <n v="43077"/>
    <n v="41291"/>
    <x v="0"/>
    <x v="28"/>
    <x v="77"/>
    <x v="0"/>
    <x v="4"/>
    <x v="5"/>
    <x v="10"/>
  </r>
  <r>
    <x v="113"/>
    <s v="Sneha Iyer"/>
    <x v="3"/>
    <s v="Diabetes"/>
    <n v="30440"/>
    <n v="28883"/>
    <x v="0"/>
    <x v="99"/>
    <x v="78"/>
    <x v="1"/>
    <x v="4"/>
    <x v="3"/>
    <x v="6"/>
  </r>
  <r>
    <x v="114"/>
    <s v="Sneha Iyer"/>
    <x v="0"/>
    <s v="Fever"/>
    <n v="23258"/>
    <n v="22658"/>
    <x v="0"/>
    <x v="40"/>
    <x v="79"/>
    <x v="1"/>
    <x v="4"/>
    <x v="6"/>
    <x v="11"/>
  </r>
  <r>
    <x v="115"/>
    <s v="Kiran Patel"/>
    <x v="1"/>
    <s v="Fracture"/>
    <n v="13140"/>
    <n v="12979"/>
    <x v="0"/>
    <x v="100"/>
    <x v="38"/>
    <x v="0"/>
    <x v="2"/>
    <x v="9"/>
    <x v="6"/>
  </r>
  <r>
    <x v="116"/>
    <s v="Rohit Das"/>
    <x v="5"/>
    <s v="Cardiac Issue"/>
    <n v="32221"/>
    <n v="31280"/>
    <x v="0"/>
    <x v="101"/>
    <x v="27"/>
    <x v="1"/>
    <x v="3"/>
    <x v="5"/>
    <x v="2"/>
  </r>
  <r>
    <x v="117"/>
    <s v="Kavya Nair"/>
    <x v="5"/>
    <s v="Diabetes"/>
    <n v="30949"/>
    <n v="29746"/>
    <x v="0"/>
    <x v="35"/>
    <x v="35"/>
    <x v="1"/>
    <x v="2"/>
    <x v="9"/>
    <x v="3"/>
  </r>
  <r>
    <x v="118"/>
    <s v="Sneha Iyer"/>
    <x v="3"/>
    <s v="Asthma"/>
    <n v="33667"/>
    <n v="33182"/>
    <x v="0"/>
    <x v="102"/>
    <x v="80"/>
    <x v="1"/>
    <x v="0"/>
    <x v="1"/>
    <x v="11"/>
  </r>
  <r>
    <x v="119"/>
    <s v="Sneha Iyer"/>
    <x v="2"/>
    <s v="Fever"/>
    <n v="45137"/>
    <n v="44575"/>
    <x v="0"/>
    <x v="103"/>
    <x v="81"/>
    <x v="0"/>
    <x v="0"/>
    <x v="1"/>
    <x v="4"/>
  </r>
  <r>
    <x v="120"/>
    <s v="Arjun Singh"/>
    <x v="2"/>
    <s v="Cardiac Issue"/>
    <n v="41784"/>
    <n v="41336"/>
    <x v="0"/>
    <x v="7"/>
    <x v="82"/>
    <x v="1"/>
    <x v="5"/>
    <x v="8"/>
    <x v="6"/>
  </r>
  <r>
    <x v="121"/>
    <s v="Anil Reddy"/>
    <x v="0"/>
    <s v="Fever"/>
    <n v="22246"/>
    <n v="22178"/>
    <x v="0"/>
    <x v="104"/>
    <x v="37"/>
    <x v="0"/>
    <x v="4"/>
    <x v="6"/>
    <x v="10"/>
  </r>
  <r>
    <x v="122"/>
    <s v="Sneha Iyer"/>
    <x v="2"/>
    <s v="Asthma"/>
    <n v="13510"/>
    <n v="13240"/>
    <x v="0"/>
    <x v="21"/>
    <x v="83"/>
    <x v="1"/>
    <x v="1"/>
    <x v="6"/>
    <x v="10"/>
  </r>
  <r>
    <x v="123"/>
    <s v="Anil Reddy"/>
    <x v="2"/>
    <s v="Covid"/>
    <n v="21342"/>
    <n v="19695"/>
    <x v="0"/>
    <x v="13"/>
    <x v="72"/>
    <x v="0"/>
    <x v="4"/>
    <x v="4"/>
    <x v="0"/>
  </r>
  <r>
    <x v="124"/>
    <s v="Kiran Patel"/>
    <x v="1"/>
    <s v="Infection"/>
    <n v="7918"/>
    <n v="7890"/>
    <x v="0"/>
    <x v="105"/>
    <x v="84"/>
    <x v="0"/>
    <x v="2"/>
    <x v="0"/>
    <x v="2"/>
  </r>
  <r>
    <x v="125"/>
    <s v="Rahul Verma"/>
    <x v="2"/>
    <s v="Asthma"/>
    <n v="43847"/>
    <n v="43626"/>
    <x v="0"/>
    <x v="50"/>
    <x v="42"/>
    <x v="1"/>
    <x v="4"/>
    <x v="8"/>
    <x v="8"/>
  </r>
  <r>
    <x v="126"/>
    <s v="Rohit Das"/>
    <x v="2"/>
    <s v="Cardiac Issue"/>
    <n v="44444"/>
    <n v="43143"/>
    <x v="0"/>
    <x v="106"/>
    <x v="85"/>
    <x v="1"/>
    <x v="4"/>
    <x v="10"/>
    <x v="5"/>
  </r>
  <r>
    <x v="127"/>
    <s v="Anil Reddy"/>
    <x v="0"/>
    <s v="Fever"/>
    <n v="21946"/>
    <n v="21709"/>
    <x v="0"/>
    <x v="107"/>
    <x v="86"/>
    <x v="0"/>
    <x v="2"/>
    <x v="8"/>
    <x v="0"/>
  </r>
  <r>
    <x v="128"/>
    <s v="Arjun Singh"/>
    <x v="2"/>
    <s v="Asthma"/>
    <n v="40491"/>
    <n v="38678"/>
    <x v="0"/>
    <x v="108"/>
    <x v="87"/>
    <x v="1"/>
    <x v="0"/>
    <x v="3"/>
    <x v="11"/>
  </r>
  <r>
    <x v="129"/>
    <s v="Meena Gupta"/>
    <x v="2"/>
    <s v="Fever"/>
    <n v="47238"/>
    <n v="46794"/>
    <x v="0"/>
    <x v="109"/>
    <x v="88"/>
    <x v="0"/>
    <x v="1"/>
    <x v="4"/>
    <x v="5"/>
  </r>
  <r>
    <x v="130"/>
    <s v="Rahul Verma"/>
    <x v="0"/>
    <s v="Infection"/>
    <n v="37682"/>
    <n v="37558"/>
    <x v="0"/>
    <x v="110"/>
    <x v="89"/>
    <x v="0"/>
    <x v="4"/>
    <x v="10"/>
    <x v="11"/>
  </r>
  <r>
    <x v="131"/>
    <s v="Arjun Singh"/>
    <x v="0"/>
    <s v="Cardiac Issue"/>
    <n v="44054"/>
    <n v="0"/>
    <x v="1"/>
    <x v="111"/>
    <x v="2"/>
    <x v="0"/>
    <x v="1"/>
    <x v="2"/>
    <x v="4"/>
  </r>
  <r>
    <x v="132"/>
    <s v="Rahul Verma"/>
    <x v="3"/>
    <s v="Fracture"/>
    <n v="39000"/>
    <n v="38860"/>
    <x v="0"/>
    <x v="19"/>
    <x v="90"/>
    <x v="0"/>
    <x v="1"/>
    <x v="8"/>
    <x v="10"/>
  </r>
  <r>
    <x v="133"/>
    <s v="Kiran Patel"/>
    <x v="2"/>
    <s v="Fracture"/>
    <n v="41058"/>
    <n v="40491"/>
    <x v="0"/>
    <x v="112"/>
    <x v="91"/>
    <x v="1"/>
    <x v="1"/>
    <x v="7"/>
    <x v="9"/>
  </r>
  <r>
    <x v="134"/>
    <s v="Anil Reddy"/>
    <x v="0"/>
    <s v="Fever"/>
    <n v="10637"/>
    <n v="9904"/>
    <x v="0"/>
    <x v="41"/>
    <x v="27"/>
    <x v="1"/>
    <x v="4"/>
    <x v="1"/>
    <x v="2"/>
  </r>
  <r>
    <x v="135"/>
    <s v="Anil Reddy"/>
    <x v="2"/>
    <s v="Fever"/>
    <n v="10307"/>
    <n v="9230"/>
    <x v="0"/>
    <x v="13"/>
    <x v="92"/>
    <x v="1"/>
    <x v="2"/>
    <x v="3"/>
    <x v="0"/>
  </r>
  <r>
    <x v="136"/>
    <s v="Rahul Verma"/>
    <x v="0"/>
    <s v="Covid"/>
    <n v="35019"/>
    <n v="33083"/>
    <x v="0"/>
    <x v="113"/>
    <x v="93"/>
    <x v="1"/>
    <x v="2"/>
    <x v="5"/>
    <x v="6"/>
  </r>
  <r>
    <x v="137"/>
    <s v="Ravi Kumar"/>
    <x v="0"/>
    <s v="Covid"/>
    <n v="28320"/>
    <n v="26915"/>
    <x v="0"/>
    <x v="114"/>
    <x v="94"/>
    <x v="1"/>
    <x v="4"/>
    <x v="4"/>
    <x v="0"/>
  </r>
  <r>
    <x v="138"/>
    <s v="Priya Sharma"/>
    <x v="2"/>
    <s v="Fracture"/>
    <n v="6304"/>
    <n v="5741"/>
    <x v="0"/>
    <x v="115"/>
    <x v="82"/>
    <x v="1"/>
    <x v="2"/>
    <x v="1"/>
    <x v="6"/>
  </r>
  <r>
    <x v="139"/>
    <s v="Rohit Das"/>
    <x v="2"/>
    <s v="Covid"/>
    <n v="35131"/>
    <n v="0"/>
    <x v="1"/>
    <x v="22"/>
    <x v="2"/>
    <x v="0"/>
    <x v="1"/>
    <x v="2"/>
    <x v="5"/>
  </r>
  <r>
    <x v="140"/>
    <s v="Priya Sharma"/>
    <x v="3"/>
    <s v="Asthma"/>
    <n v="31593"/>
    <n v="30746"/>
    <x v="0"/>
    <x v="23"/>
    <x v="95"/>
    <x v="1"/>
    <x v="2"/>
    <x v="4"/>
    <x v="3"/>
  </r>
  <r>
    <x v="141"/>
    <s v="Priya Sharma"/>
    <x v="2"/>
    <s v="Asthma"/>
    <n v="22481"/>
    <n v="21715"/>
    <x v="0"/>
    <x v="116"/>
    <x v="96"/>
    <x v="0"/>
    <x v="4"/>
    <x v="4"/>
    <x v="9"/>
  </r>
  <r>
    <x v="142"/>
    <s v="Priya Sharma"/>
    <x v="0"/>
    <s v="Asthma"/>
    <n v="8328"/>
    <n v="6666"/>
    <x v="0"/>
    <x v="117"/>
    <x v="97"/>
    <x v="0"/>
    <x v="0"/>
    <x v="0"/>
    <x v="9"/>
  </r>
  <r>
    <x v="143"/>
    <s v="Kavya Nair"/>
    <x v="2"/>
    <s v="Diabetes"/>
    <n v="28922"/>
    <n v="27133"/>
    <x v="0"/>
    <x v="118"/>
    <x v="98"/>
    <x v="0"/>
    <x v="3"/>
    <x v="9"/>
    <x v="8"/>
  </r>
  <r>
    <x v="144"/>
    <s v="Rohit Das"/>
    <x v="2"/>
    <s v="Infection"/>
    <n v="8789"/>
    <n v="0"/>
    <x v="1"/>
    <x v="119"/>
    <x v="2"/>
    <x v="0"/>
    <x v="4"/>
    <x v="2"/>
    <x v="1"/>
  </r>
  <r>
    <x v="145"/>
    <s v="Arjun Singh"/>
    <x v="3"/>
    <s v="Diabetes"/>
    <n v="24945"/>
    <n v="0"/>
    <x v="1"/>
    <x v="120"/>
    <x v="2"/>
    <x v="0"/>
    <x v="1"/>
    <x v="2"/>
    <x v="11"/>
  </r>
  <r>
    <x v="146"/>
    <s v="Sneha Iyer"/>
    <x v="3"/>
    <s v="Asthma"/>
    <n v="38763"/>
    <n v="0"/>
    <x v="1"/>
    <x v="113"/>
    <x v="2"/>
    <x v="0"/>
    <x v="0"/>
    <x v="2"/>
    <x v="6"/>
  </r>
  <r>
    <x v="147"/>
    <s v="Sneha Iyer"/>
    <x v="0"/>
    <s v="Fracture"/>
    <n v="19909"/>
    <n v="18022"/>
    <x v="0"/>
    <x v="23"/>
    <x v="48"/>
    <x v="0"/>
    <x v="4"/>
    <x v="6"/>
    <x v="3"/>
  </r>
  <r>
    <x v="148"/>
    <s v="Anil Reddy"/>
    <x v="1"/>
    <s v="Diabetes"/>
    <n v="11297"/>
    <n v="11110"/>
    <x v="0"/>
    <x v="29"/>
    <x v="39"/>
    <x v="1"/>
    <x v="2"/>
    <x v="8"/>
    <x v="1"/>
  </r>
  <r>
    <x v="149"/>
    <s v="Arjun Singh"/>
    <x v="2"/>
    <s v="Fracture"/>
    <n v="26251"/>
    <n v="24774"/>
    <x v="0"/>
    <x v="71"/>
    <x v="99"/>
    <x v="0"/>
    <x v="4"/>
    <x v="1"/>
    <x v="3"/>
  </r>
  <r>
    <x v="150"/>
    <s v="Anil Reddy"/>
    <x v="5"/>
    <s v="Fever"/>
    <n v="46169"/>
    <n v="45612"/>
    <x v="0"/>
    <x v="121"/>
    <x v="100"/>
    <x v="1"/>
    <x v="0"/>
    <x v="9"/>
    <x v="5"/>
  </r>
  <r>
    <x v="151"/>
    <s v="Arjun Singh"/>
    <x v="1"/>
    <s v="Migraine"/>
    <n v="16127"/>
    <n v="0"/>
    <x v="1"/>
    <x v="13"/>
    <x v="2"/>
    <x v="1"/>
    <x v="2"/>
    <x v="2"/>
    <x v="0"/>
  </r>
  <r>
    <x v="152"/>
    <s v="Priya Sharma"/>
    <x v="2"/>
    <s v="Covid"/>
    <n v="36533"/>
    <n v="36440"/>
    <x v="0"/>
    <x v="8"/>
    <x v="101"/>
    <x v="0"/>
    <x v="4"/>
    <x v="9"/>
    <x v="7"/>
  </r>
  <r>
    <x v="153"/>
    <s v="Kiran Patel"/>
    <x v="2"/>
    <s v="Cardiac Issue"/>
    <n v="10993"/>
    <n v="10401"/>
    <x v="0"/>
    <x v="122"/>
    <x v="57"/>
    <x v="0"/>
    <x v="2"/>
    <x v="3"/>
    <x v="3"/>
  </r>
  <r>
    <x v="154"/>
    <s v="Meena Gupta"/>
    <x v="5"/>
    <s v="Fracture"/>
    <n v="26917"/>
    <n v="0"/>
    <x v="1"/>
    <x v="123"/>
    <x v="2"/>
    <x v="0"/>
    <x v="0"/>
    <x v="2"/>
    <x v="8"/>
  </r>
  <r>
    <x v="155"/>
    <s v="Kavya Nair"/>
    <x v="2"/>
    <s v="Diabetes"/>
    <n v="28022"/>
    <n v="27129"/>
    <x v="0"/>
    <x v="124"/>
    <x v="102"/>
    <x v="0"/>
    <x v="1"/>
    <x v="4"/>
    <x v="4"/>
  </r>
  <r>
    <x v="156"/>
    <s v="Rahul Verma"/>
    <x v="1"/>
    <s v="Asthma"/>
    <n v="48497"/>
    <n v="47905"/>
    <x v="0"/>
    <x v="13"/>
    <x v="103"/>
    <x v="0"/>
    <x v="3"/>
    <x v="9"/>
    <x v="0"/>
  </r>
  <r>
    <x v="157"/>
    <s v="Anil Reddy"/>
    <x v="4"/>
    <s v="Infection"/>
    <n v="7775"/>
    <n v="6046"/>
    <x v="0"/>
    <x v="54"/>
    <x v="104"/>
    <x v="1"/>
    <x v="0"/>
    <x v="8"/>
    <x v="0"/>
  </r>
  <r>
    <x v="158"/>
    <s v="Meena Gupta"/>
    <x v="0"/>
    <s v="Asthma"/>
    <n v="22334"/>
    <n v="21881"/>
    <x v="0"/>
    <x v="125"/>
    <x v="105"/>
    <x v="0"/>
    <x v="0"/>
    <x v="7"/>
    <x v="3"/>
  </r>
  <r>
    <x v="159"/>
    <s v="Priya Sharma"/>
    <x v="3"/>
    <s v="Infection"/>
    <n v="25009"/>
    <n v="24526"/>
    <x v="0"/>
    <x v="0"/>
    <x v="106"/>
    <x v="1"/>
    <x v="4"/>
    <x v="7"/>
    <x v="0"/>
  </r>
  <r>
    <x v="160"/>
    <s v="Anil Reddy"/>
    <x v="5"/>
    <s v="Diabetes"/>
    <n v="13609"/>
    <n v="12659"/>
    <x v="0"/>
    <x v="61"/>
    <x v="107"/>
    <x v="1"/>
    <x v="5"/>
    <x v="1"/>
    <x v="10"/>
  </r>
  <r>
    <x v="161"/>
    <s v="Rohit Das"/>
    <x v="2"/>
    <s v="Infection"/>
    <n v="11893"/>
    <n v="11754"/>
    <x v="0"/>
    <x v="126"/>
    <x v="108"/>
    <x v="1"/>
    <x v="1"/>
    <x v="4"/>
    <x v="5"/>
  </r>
  <r>
    <x v="162"/>
    <s v="Sneha Iyer"/>
    <x v="0"/>
    <s v="Infection"/>
    <n v="35248"/>
    <n v="34613"/>
    <x v="0"/>
    <x v="24"/>
    <x v="109"/>
    <x v="0"/>
    <x v="4"/>
    <x v="4"/>
    <x v="5"/>
  </r>
  <r>
    <x v="163"/>
    <s v="Rahul Verma"/>
    <x v="2"/>
    <s v="Diabetes"/>
    <n v="44248"/>
    <n v="42989"/>
    <x v="0"/>
    <x v="127"/>
    <x v="110"/>
    <x v="1"/>
    <x v="2"/>
    <x v="0"/>
    <x v="10"/>
  </r>
  <r>
    <x v="164"/>
    <s v="Rohit Das"/>
    <x v="0"/>
    <s v="Covid"/>
    <n v="39464"/>
    <n v="38806"/>
    <x v="0"/>
    <x v="128"/>
    <x v="111"/>
    <x v="0"/>
    <x v="4"/>
    <x v="4"/>
    <x v="6"/>
  </r>
  <r>
    <x v="165"/>
    <s v="Arjun Singh"/>
    <x v="0"/>
    <s v="Infection"/>
    <n v="48813"/>
    <n v="47780"/>
    <x v="0"/>
    <x v="129"/>
    <x v="112"/>
    <x v="0"/>
    <x v="4"/>
    <x v="7"/>
    <x v="6"/>
  </r>
  <r>
    <x v="166"/>
    <s v="Arjun Singh"/>
    <x v="4"/>
    <s v="Fracture"/>
    <n v="25848"/>
    <n v="23969"/>
    <x v="0"/>
    <x v="36"/>
    <x v="113"/>
    <x v="1"/>
    <x v="1"/>
    <x v="9"/>
    <x v="2"/>
  </r>
  <r>
    <x v="167"/>
    <s v="Rahul Verma"/>
    <x v="0"/>
    <s v="Infection"/>
    <n v="6319"/>
    <n v="6126"/>
    <x v="0"/>
    <x v="130"/>
    <x v="114"/>
    <x v="1"/>
    <x v="3"/>
    <x v="9"/>
    <x v="10"/>
  </r>
  <r>
    <x v="168"/>
    <s v="Rohit Das"/>
    <x v="5"/>
    <s v="Infection"/>
    <n v="7341"/>
    <n v="0"/>
    <x v="1"/>
    <x v="90"/>
    <x v="2"/>
    <x v="0"/>
    <x v="3"/>
    <x v="2"/>
    <x v="8"/>
  </r>
  <r>
    <x v="169"/>
    <s v="Sneha Iyer"/>
    <x v="1"/>
    <s v="Fracture"/>
    <n v="40996"/>
    <n v="40362"/>
    <x v="0"/>
    <x v="131"/>
    <x v="115"/>
    <x v="1"/>
    <x v="1"/>
    <x v="9"/>
    <x v="10"/>
  </r>
  <r>
    <x v="170"/>
    <s v="Anil Reddy"/>
    <x v="0"/>
    <s v="Asthma"/>
    <n v="35324"/>
    <n v="35287"/>
    <x v="0"/>
    <x v="92"/>
    <x v="116"/>
    <x v="0"/>
    <x v="4"/>
    <x v="10"/>
    <x v="11"/>
  </r>
  <r>
    <x v="171"/>
    <s v="Rahul Verma"/>
    <x v="4"/>
    <s v="Cardiac Issue"/>
    <n v="16846"/>
    <n v="16529"/>
    <x v="0"/>
    <x v="132"/>
    <x v="15"/>
    <x v="0"/>
    <x v="0"/>
    <x v="10"/>
    <x v="0"/>
  </r>
  <r>
    <x v="172"/>
    <s v="Kavya Nair"/>
    <x v="0"/>
    <s v="Infection"/>
    <n v="42503"/>
    <n v="41280"/>
    <x v="0"/>
    <x v="133"/>
    <x v="71"/>
    <x v="0"/>
    <x v="4"/>
    <x v="7"/>
    <x v="11"/>
  </r>
  <r>
    <x v="173"/>
    <s v="Rohit Das"/>
    <x v="5"/>
    <s v="Covid"/>
    <n v="4863"/>
    <n v="4117"/>
    <x v="0"/>
    <x v="134"/>
    <x v="117"/>
    <x v="1"/>
    <x v="0"/>
    <x v="8"/>
    <x v="8"/>
  </r>
  <r>
    <x v="174"/>
    <s v="Sneha Iyer"/>
    <x v="4"/>
    <s v="Cardiac Issue"/>
    <n v="36996"/>
    <n v="36363"/>
    <x v="0"/>
    <x v="126"/>
    <x v="109"/>
    <x v="1"/>
    <x v="5"/>
    <x v="8"/>
    <x v="5"/>
  </r>
  <r>
    <x v="175"/>
    <s v="Rohit Das"/>
    <x v="4"/>
    <s v="Covid"/>
    <n v="20466"/>
    <n v="19437"/>
    <x v="0"/>
    <x v="135"/>
    <x v="118"/>
    <x v="0"/>
    <x v="1"/>
    <x v="9"/>
    <x v="1"/>
  </r>
  <r>
    <x v="176"/>
    <s v="Kiran Patel"/>
    <x v="5"/>
    <s v="Migraine"/>
    <n v="5419"/>
    <n v="3629"/>
    <x v="0"/>
    <x v="136"/>
    <x v="119"/>
    <x v="0"/>
    <x v="5"/>
    <x v="0"/>
    <x v="11"/>
  </r>
  <r>
    <x v="177"/>
    <s v="Kavya Nair"/>
    <x v="0"/>
    <s v="Migraine"/>
    <n v="7496"/>
    <n v="6938"/>
    <x v="0"/>
    <x v="70"/>
    <x v="120"/>
    <x v="0"/>
    <x v="1"/>
    <x v="0"/>
    <x v="5"/>
  </r>
  <r>
    <x v="178"/>
    <s v="Meena Gupta"/>
    <x v="0"/>
    <s v="Cardiac Issue"/>
    <n v="31565"/>
    <n v="29660"/>
    <x v="0"/>
    <x v="137"/>
    <x v="121"/>
    <x v="0"/>
    <x v="2"/>
    <x v="9"/>
    <x v="4"/>
  </r>
  <r>
    <x v="179"/>
    <s v="Kavya Nair"/>
    <x v="2"/>
    <s v="Cardiac Issue"/>
    <n v="27307"/>
    <n v="26540"/>
    <x v="0"/>
    <x v="138"/>
    <x v="122"/>
    <x v="1"/>
    <x v="4"/>
    <x v="5"/>
    <x v="7"/>
  </r>
  <r>
    <x v="180"/>
    <s v="Rahul Verma"/>
    <x v="5"/>
    <s v="Fracture"/>
    <n v="4510"/>
    <n v="2632"/>
    <x v="0"/>
    <x v="139"/>
    <x v="109"/>
    <x v="1"/>
    <x v="2"/>
    <x v="7"/>
    <x v="5"/>
  </r>
  <r>
    <x v="181"/>
    <s v="Rohit Das"/>
    <x v="0"/>
    <s v="Diabetes"/>
    <n v="3245"/>
    <n v="2804"/>
    <x v="0"/>
    <x v="140"/>
    <x v="123"/>
    <x v="1"/>
    <x v="4"/>
    <x v="0"/>
    <x v="9"/>
  </r>
  <r>
    <x v="182"/>
    <s v="Sneha Iyer"/>
    <x v="3"/>
    <s v="Migraine"/>
    <n v="9985"/>
    <n v="9497"/>
    <x v="0"/>
    <x v="141"/>
    <x v="124"/>
    <x v="1"/>
    <x v="4"/>
    <x v="1"/>
    <x v="5"/>
  </r>
  <r>
    <x v="183"/>
    <s v="Priya Sharma"/>
    <x v="4"/>
    <s v="Fever"/>
    <n v="43415"/>
    <n v="0"/>
    <x v="1"/>
    <x v="142"/>
    <x v="2"/>
    <x v="0"/>
    <x v="5"/>
    <x v="2"/>
    <x v="10"/>
  </r>
  <r>
    <x v="184"/>
    <s v="Anil Reddy"/>
    <x v="2"/>
    <s v="Asthma"/>
    <n v="2102"/>
    <n v="0"/>
    <x v="1"/>
    <x v="143"/>
    <x v="2"/>
    <x v="0"/>
    <x v="0"/>
    <x v="2"/>
    <x v="3"/>
  </r>
  <r>
    <x v="185"/>
    <s v="Meena Gupta"/>
    <x v="5"/>
    <s v="Diabetes"/>
    <n v="36307"/>
    <n v="36169"/>
    <x v="0"/>
    <x v="144"/>
    <x v="77"/>
    <x v="0"/>
    <x v="2"/>
    <x v="0"/>
    <x v="1"/>
  </r>
  <r>
    <x v="186"/>
    <s v="Arjun Singh"/>
    <x v="0"/>
    <s v="Asthma"/>
    <n v="26464"/>
    <n v="24934"/>
    <x v="0"/>
    <x v="145"/>
    <x v="81"/>
    <x v="0"/>
    <x v="3"/>
    <x v="6"/>
    <x v="4"/>
  </r>
  <r>
    <x v="187"/>
    <s v="Kiran Patel"/>
    <x v="0"/>
    <s v="Infection"/>
    <n v="10743"/>
    <n v="10022"/>
    <x v="0"/>
    <x v="146"/>
    <x v="125"/>
    <x v="0"/>
    <x v="1"/>
    <x v="6"/>
    <x v="10"/>
  </r>
  <r>
    <x v="188"/>
    <s v="Arjun Singh"/>
    <x v="4"/>
    <s v="Fracture"/>
    <n v="10837"/>
    <n v="9371"/>
    <x v="0"/>
    <x v="147"/>
    <x v="88"/>
    <x v="1"/>
    <x v="4"/>
    <x v="5"/>
    <x v="5"/>
  </r>
  <r>
    <x v="189"/>
    <s v="Ravi Kumar"/>
    <x v="3"/>
    <s v="Fever"/>
    <n v="22682"/>
    <n v="21627"/>
    <x v="0"/>
    <x v="110"/>
    <x v="126"/>
    <x v="1"/>
    <x v="3"/>
    <x v="0"/>
    <x v="11"/>
  </r>
  <r>
    <x v="190"/>
    <s v="Ravi Kumar"/>
    <x v="3"/>
    <s v="Migraine"/>
    <n v="25394"/>
    <n v="23621"/>
    <x v="0"/>
    <x v="148"/>
    <x v="127"/>
    <x v="1"/>
    <x v="4"/>
    <x v="6"/>
    <x v="8"/>
  </r>
  <r>
    <x v="191"/>
    <s v="Rahul Verma"/>
    <x v="1"/>
    <s v="Asthma"/>
    <n v="30818"/>
    <n v="30124"/>
    <x v="0"/>
    <x v="149"/>
    <x v="53"/>
    <x v="1"/>
    <x v="3"/>
    <x v="4"/>
    <x v="7"/>
  </r>
  <r>
    <x v="192"/>
    <s v="Kavya Nair"/>
    <x v="2"/>
    <s v="Diabetes"/>
    <n v="49650"/>
    <n v="49489"/>
    <x v="0"/>
    <x v="22"/>
    <x v="128"/>
    <x v="0"/>
    <x v="0"/>
    <x v="1"/>
    <x v="5"/>
  </r>
  <r>
    <x v="193"/>
    <s v="Sneha Iyer"/>
    <x v="2"/>
    <s v="Diabetes"/>
    <n v="7247"/>
    <n v="5894"/>
    <x v="0"/>
    <x v="150"/>
    <x v="129"/>
    <x v="1"/>
    <x v="0"/>
    <x v="10"/>
    <x v="2"/>
  </r>
  <r>
    <x v="194"/>
    <s v="Meena Gupta"/>
    <x v="5"/>
    <s v="Covid"/>
    <n v="25038"/>
    <n v="24952"/>
    <x v="0"/>
    <x v="143"/>
    <x v="116"/>
    <x v="1"/>
    <x v="3"/>
    <x v="1"/>
    <x v="3"/>
  </r>
  <r>
    <x v="195"/>
    <s v="Ravi Kumar"/>
    <x v="0"/>
    <s v="Asthma"/>
    <n v="25809"/>
    <n v="0"/>
    <x v="1"/>
    <x v="151"/>
    <x v="2"/>
    <x v="0"/>
    <x v="4"/>
    <x v="2"/>
    <x v="8"/>
  </r>
  <r>
    <x v="196"/>
    <s v="Anil Reddy"/>
    <x v="4"/>
    <s v="Fever"/>
    <n v="10272"/>
    <n v="9789"/>
    <x v="0"/>
    <x v="129"/>
    <x v="130"/>
    <x v="1"/>
    <x v="2"/>
    <x v="6"/>
    <x v="6"/>
  </r>
  <r>
    <x v="197"/>
    <s v="Rohit Das"/>
    <x v="0"/>
    <s v="Fracture"/>
    <n v="46503"/>
    <n v="44560"/>
    <x v="0"/>
    <x v="152"/>
    <x v="71"/>
    <x v="1"/>
    <x v="1"/>
    <x v="6"/>
    <x v="11"/>
  </r>
  <r>
    <x v="198"/>
    <s v="Priya Sharma"/>
    <x v="5"/>
    <s v="Infection"/>
    <n v="28085"/>
    <n v="26755"/>
    <x v="0"/>
    <x v="2"/>
    <x v="131"/>
    <x v="0"/>
    <x v="4"/>
    <x v="8"/>
    <x v="2"/>
  </r>
  <r>
    <x v="199"/>
    <s v="Anil Reddy"/>
    <x v="4"/>
    <s v="Asthma"/>
    <n v="38809"/>
    <n v="38273"/>
    <x v="0"/>
    <x v="153"/>
    <x v="132"/>
    <x v="0"/>
    <x v="0"/>
    <x v="4"/>
    <x v="2"/>
  </r>
  <r>
    <x v="200"/>
    <s v="Sneha Iyer"/>
    <x v="4"/>
    <s v="Cardiac Issue"/>
    <n v="10037"/>
    <n v="8291"/>
    <x v="0"/>
    <x v="154"/>
    <x v="133"/>
    <x v="0"/>
    <x v="5"/>
    <x v="4"/>
    <x v="0"/>
  </r>
  <r>
    <x v="201"/>
    <s v="Arjun Singh"/>
    <x v="0"/>
    <s v="Infection"/>
    <n v="45767"/>
    <n v="44314"/>
    <x v="0"/>
    <x v="9"/>
    <x v="134"/>
    <x v="1"/>
    <x v="3"/>
    <x v="0"/>
    <x v="0"/>
  </r>
  <r>
    <x v="202"/>
    <s v="Anil Reddy"/>
    <x v="5"/>
    <s v="Infection"/>
    <n v="35341"/>
    <n v="35093"/>
    <x v="0"/>
    <x v="155"/>
    <x v="135"/>
    <x v="0"/>
    <x v="1"/>
    <x v="7"/>
    <x v="7"/>
  </r>
  <r>
    <x v="203"/>
    <s v="Arjun Singh"/>
    <x v="0"/>
    <s v="Infection"/>
    <n v="38308"/>
    <n v="0"/>
    <x v="1"/>
    <x v="120"/>
    <x v="2"/>
    <x v="1"/>
    <x v="1"/>
    <x v="2"/>
    <x v="11"/>
  </r>
  <r>
    <x v="204"/>
    <s v="Kavya Nair"/>
    <x v="5"/>
    <s v="Diabetes"/>
    <n v="6308"/>
    <n v="5493"/>
    <x v="0"/>
    <x v="156"/>
    <x v="136"/>
    <x v="1"/>
    <x v="1"/>
    <x v="0"/>
    <x v="1"/>
  </r>
  <r>
    <x v="205"/>
    <s v="Meena Gupta"/>
    <x v="0"/>
    <s v="Fracture"/>
    <n v="22776"/>
    <n v="21855"/>
    <x v="0"/>
    <x v="157"/>
    <x v="137"/>
    <x v="1"/>
    <x v="4"/>
    <x v="0"/>
    <x v="5"/>
  </r>
  <r>
    <x v="206"/>
    <s v="Kavya Nair"/>
    <x v="5"/>
    <s v="Fracture"/>
    <n v="30352"/>
    <n v="0"/>
    <x v="1"/>
    <x v="158"/>
    <x v="2"/>
    <x v="0"/>
    <x v="0"/>
    <x v="2"/>
    <x v="4"/>
  </r>
  <r>
    <x v="207"/>
    <s v="Anil Reddy"/>
    <x v="2"/>
    <s v="Fracture"/>
    <n v="12614"/>
    <n v="10700"/>
    <x v="0"/>
    <x v="159"/>
    <x v="138"/>
    <x v="1"/>
    <x v="0"/>
    <x v="8"/>
    <x v="8"/>
  </r>
  <r>
    <x v="208"/>
    <s v="Sneha Iyer"/>
    <x v="0"/>
    <s v="Migraine"/>
    <n v="14864"/>
    <n v="0"/>
    <x v="1"/>
    <x v="160"/>
    <x v="2"/>
    <x v="0"/>
    <x v="5"/>
    <x v="2"/>
    <x v="2"/>
  </r>
  <r>
    <x v="209"/>
    <s v="Sneha Iyer"/>
    <x v="0"/>
    <s v="Fracture"/>
    <n v="40784"/>
    <n v="0"/>
    <x v="1"/>
    <x v="116"/>
    <x v="2"/>
    <x v="0"/>
    <x v="5"/>
    <x v="2"/>
    <x v="9"/>
  </r>
  <r>
    <x v="210"/>
    <s v="Rohit Das"/>
    <x v="2"/>
    <s v="Fever"/>
    <n v="3859"/>
    <n v="3766"/>
    <x v="0"/>
    <x v="161"/>
    <x v="139"/>
    <x v="1"/>
    <x v="5"/>
    <x v="1"/>
    <x v="6"/>
  </r>
  <r>
    <x v="211"/>
    <s v="Kiran Patel"/>
    <x v="1"/>
    <s v="Fever"/>
    <n v="34639"/>
    <n v="0"/>
    <x v="1"/>
    <x v="162"/>
    <x v="2"/>
    <x v="1"/>
    <x v="2"/>
    <x v="2"/>
    <x v="2"/>
  </r>
  <r>
    <x v="212"/>
    <s v="Kiran Patel"/>
    <x v="1"/>
    <s v="Migraine"/>
    <n v="31723"/>
    <n v="30313"/>
    <x v="0"/>
    <x v="163"/>
    <x v="140"/>
    <x v="1"/>
    <x v="2"/>
    <x v="7"/>
    <x v="4"/>
  </r>
  <r>
    <x v="213"/>
    <s v="Arjun Singh"/>
    <x v="4"/>
    <s v="Cardiac Issue"/>
    <n v="24294"/>
    <n v="0"/>
    <x v="1"/>
    <x v="164"/>
    <x v="2"/>
    <x v="1"/>
    <x v="1"/>
    <x v="2"/>
    <x v="9"/>
  </r>
  <r>
    <x v="214"/>
    <s v="Rahul Verma"/>
    <x v="2"/>
    <s v="Asthma"/>
    <n v="10569"/>
    <n v="9515"/>
    <x v="0"/>
    <x v="165"/>
    <x v="141"/>
    <x v="1"/>
    <x v="4"/>
    <x v="3"/>
    <x v="10"/>
  </r>
  <r>
    <x v="215"/>
    <s v="Arjun Singh"/>
    <x v="0"/>
    <s v="Migraine"/>
    <n v="31464"/>
    <n v="31176"/>
    <x v="0"/>
    <x v="107"/>
    <x v="142"/>
    <x v="1"/>
    <x v="2"/>
    <x v="5"/>
    <x v="0"/>
  </r>
  <r>
    <x v="216"/>
    <s v="Rohit Das"/>
    <x v="1"/>
    <s v="Cardiac Issue"/>
    <n v="12466"/>
    <n v="10554"/>
    <x v="0"/>
    <x v="80"/>
    <x v="143"/>
    <x v="0"/>
    <x v="1"/>
    <x v="6"/>
    <x v="10"/>
  </r>
  <r>
    <x v="217"/>
    <s v="Anil Reddy"/>
    <x v="4"/>
    <s v="Covid"/>
    <n v="34686"/>
    <n v="33668"/>
    <x v="0"/>
    <x v="166"/>
    <x v="144"/>
    <x v="1"/>
    <x v="0"/>
    <x v="3"/>
    <x v="4"/>
  </r>
  <r>
    <x v="218"/>
    <s v="Arjun Singh"/>
    <x v="3"/>
    <s v="Cardiac Issue"/>
    <n v="40230"/>
    <n v="40131"/>
    <x v="0"/>
    <x v="167"/>
    <x v="4"/>
    <x v="1"/>
    <x v="0"/>
    <x v="10"/>
    <x v="4"/>
  </r>
  <r>
    <x v="219"/>
    <s v="Arjun Singh"/>
    <x v="2"/>
    <s v="Fever"/>
    <n v="9044"/>
    <n v="8770"/>
    <x v="0"/>
    <x v="105"/>
    <x v="132"/>
    <x v="1"/>
    <x v="3"/>
    <x v="6"/>
    <x v="2"/>
  </r>
  <r>
    <x v="220"/>
    <s v="Ravi Kumar"/>
    <x v="1"/>
    <s v="Fever"/>
    <n v="39373"/>
    <n v="0"/>
    <x v="1"/>
    <x v="53"/>
    <x v="2"/>
    <x v="1"/>
    <x v="0"/>
    <x v="2"/>
    <x v="7"/>
  </r>
  <r>
    <x v="221"/>
    <s v="Sneha Iyer"/>
    <x v="0"/>
    <s v="Asthma"/>
    <n v="35046"/>
    <n v="33481"/>
    <x v="0"/>
    <x v="168"/>
    <x v="145"/>
    <x v="0"/>
    <x v="4"/>
    <x v="10"/>
    <x v="10"/>
  </r>
  <r>
    <x v="222"/>
    <s v="Priya Sharma"/>
    <x v="1"/>
    <s v="Infection"/>
    <n v="24222"/>
    <n v="0"/>
    <x v="1"/>
    <x v="169"/>
    <x v="2"/>
    <x v="0"/>
    <x v="4"/>
    <x v="2"/>
    <x v="11"/>
  </r>
  <r>
    <x v="223"/>
    <s v="Rohit Das"/>
    <x v="1"/>
    <s v="Fever"/>
    <n v="4969"/>
    <n v="4689"/>
    <x v="0"/>
    <x v="170"/>
    <x v="146"/>
    <x v="1"/>
    <x v="0"/>
    <x v="6"/>
    <x v="8"/>
  </r>
  <r>
    <x v="224"/>
    <s v="Arjun Singh"/>
    <x v="5"/>
    <s v="Fracture"/>
    <n v="23493"/>
    <n v="0"/>
    <x v="1"/>
    <x v="57"/>
    <x v="2"/>
    <x v="0"/>
    <x v="2"/>
    <x v="2"/>
    <x v="3"/>
  </r>
  <r>
    <x v="225"/>
    <s v="Rohit Das"/>
    <x v="2"/>
    <s v="Infection"/>
    <n v="35247"/>
    <n v="0"/>
    <x v="1"/>
    <x v="171"/>
    <x v="2"/>
    <x v="1"/>
    <x v="5"/>
    <x v="2"/>
    <x v="1"/>
  </r>
  <r>
    <x v="226"/>
    <s v="Rohit Das"/>
    <x v="2"/>
    <s v="Covid"/>
    <n v="3090"/>
    <n v="2412"/>
    <x v="0"/>
    <x v="172"/>
    <x v="70"/>
    <x v="1"/>
    <x v="0"/>
    <x v="3"/>
    <x v="8"/>
  </r>
  <r>
    <x v="227"/>
    <s v="Sneha Iyer"/>
    <x v="0"/>
    <s v="Covid"/>
    <n v="19401"/>
    <n v="0"/>
    <x v="1"/>
    <x v="80"/>
    <x v="2"/>
    <x v="0"/>
    <x v="5"/>
    <x v="2"/>
    <x v="10"/>
  </r>
  <r>
    <x v="228"/>
    <s v="Ravi Kumar"/>
    <x v="4"/>
    <s v="Fracture"/>
    <n v="36356"/>
    <n v="0"/>
    <x v="1"/>
    <x v="62"/>
    <x v="2"/>
    <x v="0"/>
    <x v="1"/>
    <x v="2"/>
    <x v="11"/>
  </r>
  <r>
    <x v="229"/>
    <s v="Kiran Patel"/>
    <x v="0"/>
    <s v="Diabetes"/>
    <n v="14503"/>
    <n v="13600"/>
    <x v="0"/>
    <x v="173"/>
    <x v="147"/>
    <x v="0"/>
    <x v="2"/>
    <x v="9"/>
    <x v="3"/>
  </r>
  <r>
    <x v="230"/>
    <s v="Kiran Patel"/>
    <x v="1"/>
    <s v="Covid"/>
    <n v="49671"/>
    <n v="48226"/>
    <x v="0"/>
    <x v="174"/>
    <x v="148"/>
    <x v="0"/>
    <x v="0"/>
    <x v="0"/>
    <x v="9"/>
  </r>
  <r>
    <x v="231"/>
    <s v="Rahul Verma"/>
    <x v="4"/>
    <s v="Asthma"/>
    <n v="22562"/>
    <n v="21621"/>
    <x v="0"/>
    <x v="171"/>
    <x v="77"/>
    <x v="1"/>
    <x v="5"/>
    <x v="6"/>
    <x v="1"/>
  </r>
  <r>
    <x v="232"/>
    <s v="Sneha Iyer"/>
    <x v="4"/>
    <s v="Cardiac Issue"/>
    <n v="18155"/>
    <n v="17013"/>
    <x v="0"/>
    <x v="175"/>
    <x v="129"/>
    <x v="1"/>
    <x v="1"/>
    <x v="8"/>
    <x v="3"/>
  </r>
  <r>
    <x v="233"/>
    <s v="Sneha Iyer"/>
    <x v="3"/>
    <s v="Covid"/>
    <n v="22777"/>
    <n v="22063"/>
    <x v="0"/>
    <x v="131"/>
    <x v="149"/>
    <x v="1"/>
    <x v="4"/>
    <x v="10"/>
    <x v="10"/>
  </r>
  <r>
    <x v="234"/>
    <s v="Rohit Das"/>
    <x v="1"/>
    <s v="Asthma"/>
    <n v="24618"/>
    <n v="24024"/>
    <x v="0"/>
    <x v="176"/>
    <x v="150"/>
    <x v="0"/>
    <x v="3"/>
    <x v="10"/>
    <x v="4"/>
  </r>
  <r>
    <x v="235"/>
    <s v="Arjun Singh"/>
    <x v="2"/>
    <s v="Covid"/>
    <n v="16023"/>
    <n v="14328"/>
    <x v="0"/>
    <x v="69"/>
    <x v="151"/>
    <x v="1"/>
    <x v="4"/>
    <x v="10"/>
    <x v="10"/>
  </r>
  <r>
    <x v="236"/>
    <s v="Priya Sharma"/>
    <x v="3"/>
    <s v="Cardiac Issue"/>
    <n v="5326"/>
    <n v="0"/>
    <x v="1"/>
    <x v="85"/>
    <x v="2"/>
    <x v="0"/>
    <x v="4"/>
    <x v="2"/>
    <x v="7"/>
  </r>
  <r>
    <x v="237"/>
    <s v="Priya Sharma"/>
    <x v="1"/>
    <s v="Infection"/>
    <n v="49012"/>
    <n v="48807"/>
    <x v="0"/>
    <x v="12"/>
    <x v="152"/>
    <x v="0"/>
    <x v="0"/>
    <x v="7"/>
    <x v="8"/>
  </r>
  <r>
    <x v="238"/>
    <s v="Anil Reddy"/>
    <x v="1"/>
    <s v="Covid"/>
    <n v="33290"/>
    <n v="31742"/>
    <x v="0"/>
    <x v="177"/>
    <x v="153"/>
    <x v="1"/>
    <x v="5"/>
    <x v="6"/>
    <x v="2"/>
  </r>
  <r>
    <x v="239"/>
    <s v="Ravi Kumar"/>
    <x v="0"/>
    <s v="Cardiac Issue"/>
    <n v="37071"/>
    <n v="35201"/>
    <x v="0"/>
    <x v="88"/>
    <x v="154"/>
    <x v="0"/>
    <x v="4"/>
    <x v="9"/>
    <x v="9"/>
  </r>
  <r>
    <x v="240"/>
    <s v="Meena Gupta"/>
    <x v="4"/>
    <s v="Fracture"/>
    <n v="20970"/>
    <n v="20952"/>
    <x v="0"/>
    <x v="175"/>
    <x v="155"/>
    <x v="0"/>
    <x v="3"/>
    <x v="1"/>
    <x v="3"/>
  </r>
  <r>
    <x v="241"/>
    <s v="Sneha Iyer"/>
    <x v="4"/>
    <s v="Covid"/>
    <n v="10794"/>
    <n v="0"/>
    <x v="1"/>
    <x v="178"/>
    <x v="2"/>
    <x v="1"/>
    <x v="4"/>
    <x v="2"/>
    <x v="5"/>
  </r>
  <r>
    <x v="242"/>
    <s v="Priya Sharma"/>
    <x v="2"/>
    <s v="Fracture"/>
    <n v="49914"/>
    <n v="48587"/>
    <x v="0"/>
    <x v="179"/>
    <x v="156"/>
    <x v="0"/>
    <x v="5"/>
    <x v="7"/>
    <x v="2"/>
  </r>
  <r>
    <x v="243"/>
    <s v="Rahul Verma"/>
    <x v="2"/>
    <s v="Cardiac Issue"/>
    <n v="13501"/>
    <n v="0"/>
    <x v="1"/>
    <x v="180"/>
    <x v="2"/>
    <x v="1"/>
    <x v="1"/>
    <x v="2"/>
    <x v="6"/>
  </r>
  <r>
    <x v="244"/>
    <s v="Meena Gupta"/>
    <x v="2"/>
    <s v="Diabetes"/>
    <n v="28269"/>
    <n v="27891"/>
    <x v="0"/>
    <x v="181"/>
    <x v="148"/>
    <x v="1"/>
    <x v="4"/>
    <x v="4"/>
    <x v="9"/>
  </r>
  <r>
    <x v="245"/>
    <s v="Ravi Kumar"/>
    <x v="2"/>
    <s v="Asthma"/>
    <n v="17435"/>
    <n v="15892"/>
    <x v="0"/>
    <x v="96"/>
    <x v="157"/>
    <x v="1"/>
    <x v="0"/>
    <x v="6"/>
    <x v="2"/>
  </r>
  <r>
    <x v="246"/>
    <s v="Rohit Das"/>
    <x v="0"/>
    <s v="Migraine"/>
    <n v="44839"/>
    <n v="43421"/>
    <x v="0"/>
    <x v="30"/>
    <x v="158"/>
    <x v="0"/>
    <x v="2"/>
    <x v="5"/>
    <x v="7"/>
  </r>
  <r>
    <x v="247"/>
    <s v="Sneha Iyer"/>
    <x v="5"/>
    <s v="Asthma"/>
    <n v="46962"/>
    <n v="0"/>
    <x v="1"/>
    <x v="123"/>
    <x v="2"/>
    <x v="1"/>
    <x v="5"/>
    <x v="2"/>
    <x v="8"/>
  </r>
  <r>
    <x v="248"/>
    <s v="Priya Sharma"/>
    <x v="2"/>
    <s v="Infection"/>
    <n v="42280"/>
    <n v="41832"/>
    <x v="0"/>
    <x v="182"/>
    <x v="159"/>
    <x v="0"/>
    <x v="2"/>
    <x v="4"/>
    <x v="9"/>
  </r>
  <r>
    <x v="249"/>
    <s v="Rohit Das"/>
    <x v="2"/>
    <s v="Asthma"/>
    <n v="48002"/>
    <n v="0"/>
    <x v="1"/>
    <x v="139"/>
    <x v="2"/>
    <x v="0"/>
    <x v="1"/>
    <x v="2"/>
    <x v="5"/>
  </r>
  <r>
    <x v="250"/>
    <s v="Kiran Patel"/>
    <x v="0"/>
    <s v="Covid"/>
    <n v="36614"/>
    <n v="36455"/>
    <x v="0"/>
    <x v="61"/>
    <x v="160"/>
    <x v="0"/>
    <x v="1"/>
    <x v="3"/>
    <x v="10"/>
  </r>
  <r>
    <x v="251"/>
    <s v="Kavya Nair"/>
    <x v="3"/>
    <s v="Fracture"/>
    <n v="12783"/>
    <n v="11034"/>
    <x v="0"/>
    <x v="46"/>
    <x v="24"/>
    <x v="0"/>
    <x v="5"/>
    <x v="4"/>
    <x v="1"/>
  </r>
  <r>
    <x v="252"/>
    <s v="Kiran Patel"/>
    <x v="4"/>
    <s v="Diabetes"/>
    <n v="35447"/>
    <n v="33791"/>
    <x v="0"/>
    <x v="158"/>
    <x v="5"/>
    <x v="0"/>
    <x v="0"/>
    <x v="4"/>
    <x v="4"/>
  </r>
  <r>
    <x v="253"/>
    <s v="Meena Gupta"/>
    <x v="4"/>
    <s v="Fever"/>
    <n v="38621"/>
    <n v="37244"/>
    <x v="0"/>
    <x v="16"/>
    <x v="161"/>
    <x v="1"/>
    <x v="3"/>
    <x v="5"/>
    <x v="3"/>
  </r>
  <r>
    <x v="254"/>
    <s v="Ravi Kumar"/>
    <x v="3"/>
    <s v="Diabetes"/>
    <n v="4968"/>
    <n v="4263"/>
    <x v="0"/>
    <x v="183"/>
    <x v="162"/>
    <x v="0"/>
    <x v="4"/>
    <x v="3"/>
    <x v="8"/>
  </r>
  <r>
    <x v="255"/>
    <s v="Arjun Singh"/>
    <x v="0"/>
    <s v="Migraine"/>
    <n v="28795"/>
    <n v="27221"/>
    <x v="0"/>
    <x v="184"/>
    <x v="159"/>
    <x v="1"/>
    <x v="2"/>
    <x v="9"/>
    <x v="9"/>
  </r>
  <r>
    <x v="256"/>
    <s v="Arjun Singh"/>
    <x v="1"/>
    <s v="Asthma"/>
    <n v="7259"/>
    <n v="0"/>
    <x v="1"/>
    <x v="182"/>
    <x v="2"/>
    <x v="1"/>
    <x v="4"/>
    <x v="2"/>
    <x v="9"/>
  </r>
  <r>
    <x v="257"/>
    <s v="Anil Reddy"/>
    <x v="1"/>
    <s v="Fracture"/>
    <n v="49700"/>
    <n v="47991"/>
    <x v="0"/>
    <x v="14"/>
    <x v="163"/>
    <x v="1"/>
    <x v="2"/>
    <x v="5"/>
    <x v="4"/>
  </r>
  <r>
    <x v="258"/>
    <s v="Kavya Nair"/>
    <x v="1"/>
    <s v="Asthma"/>
    <n v="17051"/>
    <n v="16108"/>
    <x v="0"/>
    <x v="185"/>
    <x v="164"/>
    <x v="1"/>
    <x v="4"/>
    <x v="7"/>
    <x v="3"/>
  </r>
  <r>
    <x v="259"/>
    <s v="Priya Sharma"/>
    <x v="0"/>
    <s v="Asthma"/>
    <n v="42299"/>
    <n v="41807"/>
    <x v="0"/>
    <x v="186"/>
    <x v="165"/>
    <x v="0"/>
    <x v="0"/>
    <x v="3"/>
    <x v="7"/>
  </r>
  <r>
    <x v="260"/>
    <s v="Ravi Kumar"/>
    <x v="4"/>
    <s v="Fever"/>
    <n v="18038"/>
    <n v="17215"/>
    <x v="0"/>
    <x v="187"/>
    <x v="166"/>
    <x v="0"/>
    <x v="1"/>
    <x v="8"/>
    <x v="5"/>
  </r>
  <r>
    <x v="261"/>
    <s v="Ravi Kumar"/>
    <x v="5"/>
    <s v="Migraine"/>
    <n v="17346"/>
    <n v="0"/>
    <x v="1"/>
    <x v="57"/>
    <x v="2"/>
    <x v="1"/>
    <x v="4"/>
    <x v="2"/>
    <x v="3"/>
  </r>
  <r>
    <x v="262"/>
    <s v="Sneha Iyer"/>
    <x v="5"/>
    <s v="Cardiac Issue"/>
    <n v="29103"/>
    <n v="28540"/>
    <x v="0"/>
    <x v="188"/>
    <x v="167"/>
    <x v="0"/>
    <x v="5"/>
    <x v="0"/>
    <x v="0"/>
  </r>
  <r>
    <x v="263"/>
    <s v="Meena Gupta"/>
    <x v="4"/>
    <s v="Fever"/>
    <n v="24571"/>
    <n v="22962"/>
    <x v="0"/>
    <x v="189"/>
    <x v="24"/>
    <x v="1"/>
    <x v="2"/>
    <x v="6"/>
    <x v="1"/>
  </r>
  <r>
    <x v="264"/>
    <s v="Anil Reddy"/>
    <x v="2"/>
    <s v="Asthma"/>
    <n v="14050"/>
    <n v="0"/>
    <x v="1"/>
    <x v="190"/>
    <x v="2"/>
    <x v="0"/>
    <x v="1"/>
    <x v="2"/>
    <x v="5"/>
  </r>
  <r>
    <x v="265"/>
    <s v="Kiran Patel"/>
    <x v="2"/>
    <s v="Fracture"/>
    <n v="32344"/>
    <n v="31193"/>
    <x v="0"/>
    <x v="191"/>
    <x v="168"/>
    <x v="0"/>
    <x v="2"/>
    <x v="9"/>
    <x v="11"/>
  </r>
  <r>
    <x v="266"/>
    <s v="Kiran Patel"/>
    <x v="2"/>
    <s v="Cardiac Issue"/>
    <n v="23644"/>
    <n v="21756"/>
    <x v="0"/>
    <x v="70"/>
    <x v="169"/>
    <x v="0"/>
    <x v="0"/>
    <x v="6"/>
    <x v="5"/>
  </r>
  <r>
    <x v="267"/>
    <s v="Kiran Patel"/>
    <x v="0"/>
    <s v="Migraine"/>
    <n v="26718"/>
    <n v="0"/>
    <x v="1"/>
    <x v="192"/>
    <x v="2"/>
    <x v="0"/>
    <x v="1"/>
    <x v="2"/>
    <x v="6"/>
  </r>
  <r>
    <x v="268"/>
    <s v="Priya Sharma"/>
    <x v="3"/>
    <s v="Cardiac Issue"/>
    <n v="33417"/>
    <n v="31637"/>
    <x v="0"/>
    <x v="125"/>
    <x v="20"/>
    <x v="0"/>
    <x v="4"/>
    <x v="10"/>
    <x v="3"/>
  </r>
  <r>
    <x v="269"/>
    <s v="Kiran Patel"/>
    <x v="0"/>
    <s v="Covid"/>
    <n v="17898"/>
    <n v="0"/>
    <x v="1"/>
    <x v="123"/>
    <x v="2"/>
    <x v="0"/>
    <x v="2"/>
    <x v="2"/>
    <x v="8"/>
  </r>
  <r>
    <x v="270"/>
    <s v="Kiran Patel"/>
    <x v="2"/>
    <s v="Migraine"/>
    <n v="26947"/>
    <n v="25855"/>
    <x v="0"/>
    <x v="193"/>
    <x v="139"/>
    <x v="1"/>
    <x v="3"/>
    <x v="6"/>
    <x v="6"/>
  </r>
  <r>
    <x v="271"/>
    <s v="Rahul Verma"/>
    <x v="4"/>
    <s v="Covid"/>
    <n v="8462"/>
    <n v="6903"/>
    <x v="0"/>
    <x v="57"/>
    <x v="147"/>
    <x v="1"/>
    <x v="3"/>
    <x v="8"/>
    <x v="3"/>
  </r>
  <r>
    <x v="272"/>
    <s v="Meena Gupta"/>
    <x v="0"/>
    <s v="Cardiac Issue"/>
    <n v="11563"/>
    <n v="11029"/>
    <x v="0"/>
    <x v="19"/>
    <x v="115"/>
    <x v="1"/>
    <x v="3"/>
    <x v="1"/>
    <x v="10"/>
  </r>
  <r>
    <x v="273"/>
    <s v="Anil Reddy"/>
    <x v="3"/>
    <s v="Infection"/>
    <n v="17074"/>
    <n v="15908"/>
    <x v="0"/>
    <x v="34"/>
    <x v="170"/>
    <x v="1"/>
    <x v="3"/>
    <x v="4"/>
    <x v="2"/>
  </r>
  <r>
    <x v="274"/>
    <s v="Arjun Singh"/>
    <x v="4"/>
    <s v="Covid"/>
    <n v="13025"/>
    <n v="12679"/>
    <x v="0"/>
    <x v="181"/>
    <x v="171"/>
    <x v="1"/>
    <x v="4"/>
    <x v="0"/>
    <x v="9"/>
  </r>
  <r>
    <x v="275"/>
    <s v="Kavya Nair"/>
    <x v="0"/>
    <s v="Fever"/>
    <n v="6871"/>
    <n v="5306"/>
    <x v="0"/>
    <x v="194"/>
    <x v="172"/>
    <x v="0"/>
    <x v="1"/>
    <x v="9"/>
    <x v="4"/>
  </r>
  <r>
    <x v="276"/>
    <s v="Kiran Patel"/>
    <x v="0"/>
    <s v="Fracture"/>
    <n v="2599"/>
    <n v="1564"/>
    <x v="0"/>
    <x v="97"/>
    <x v="120"/>
    <x v="0"/>
    <x v="0"/>
    <x v="6"/>
    <x v="5"/>
  </r>
  <r>
    <x v="277"/>
    <s v="Rohit Das"/>
    <x v="4"/>
    <s v="Covid"/>
    <n v="3030"/>
    <n v="1941"/>
    <x v="0"/>
    <x v="195"/>
    <x v="141"/>
    <x v="0"/>
    <x v="4"/>
    <x v="9"/>
    <x v="10"/>
  </r>
  <r>
    <x v="278"/>
    <s v="Kavya Nair"/>
    <x v="2"/>
    <s v="Migraine"/>
    <n v="3123"/>
    <n v="0"/>
    <x v="1"/>
    <x v="196"/>
    <x v="2"/>
    <x v="1"/>
    <x v="1"/>
    <x v="2"/>
    <x v="8"/>
  </r>
  <r>
    <x v="279"/>
    <s v="Anil Reddy"/>
    <x v="0"/>
    <s v="Diabetes"/>
    <n v="36366"/>
    <n v="35873"/>
    <x v="0"/>
    <x v="197"/>
    <x v="173"/>
    <x v="1"/>
    <x v="1"/>
    <x v="1"/>
    <x v="7"/>
  </r>
  <r>
    <x v="280"/>
    <s v="Rahul Verma"/>
    <x v="2"/>
    <s v="Asthma"/>
    <n v="7178"/>
    <n v="5214"/>
    <x v="0"/>
    <x v="74"/>
    <x v="69"/>
    <x v="0"/>
    <x v="5"/>
    <x v="4"/>
    <x v="11"/>
  </r>
  <r>
    <x v="281"/>
    <s v="Kiran Patel"/>
    <x v="2"/>
    <s v="Diabetes"/>
    <n v="44843"/>
    <n v="44652"/>
    <x v="0"/>
    <x v="74"/>
    <x v="87"/>
    <x v="1"/>
    <x v="0"/>
    <x v="9"/>
    <x v="11"/>
  </r>
  <r>
    <x v="282"/>
    <s v="Arjun Singh"/>
    <x v="0"/>
    <s v="Fever"/>
    <n v="48061"/>
    <n v="47892"/>
    <x v="0"/>
    <x v="198"/>
    <x v="174"/>
    <x v="1"/>
    <x v="0"/>
    <x v="9"/>
    <x v="1"/>
  </r>
  <r>
    <x v="283"/>
    <s v="Priya Sharma"/>
    <x v="0"/>
    <s v="Cardiac Issue"/>
    <n v="15855"/>
    <n v="0"/>
    <x v="1"/>
    <x v="199"/>
    <x v="2"/>
    <x v="1"/>
    <x v="4"/>
    <x v="2"/>
    <x v="5"/>
  </r>
  <r>
    <x v="284"/>
    <s v="Priya Sharma"/>
    <x v="2"/>
    <s v="Fever"/>
    <n v="13754"/>
    <n v="13722"/>
    <x v="0"/>
    <x v="200"/>
    <x v="175"/>
    <x v="0"/>
    <x v="1"/>
    <x v="1"/>
    <x v="7"/>
  </r>
  <r>
    <x v="285"/>
    <s v="Meena Gupta"/>
    <x v="0"/>
    <s v="Migraine"/>
    <n v="12646"/>
    <n v="0"/>
    <x v="1"/>
    <x v="201"/>
    <x v="2"/>
    <x v="1"/>
    <x v="5"/>
    <x v="2"/>
    <x v="2"/>
  </r>
  <r>
    <x v="286"/>
    <s v="Kavya Nair"/>
    <x v="2"/>
    <s v="Asthma"/>
    <n v="11171"/>
    <n v="10146"/>
    <x v="0"/>
    <x v="185"/>
    <x v="176"/>
    <x v="0"/>
    <x v="2"/>
    <x v="5"/>
    <x v="3"/>
  </r>
  <r>
    <x v="287"/>
    <s v="Kiran Patel"/>
    <x v="0"/>
    <s v="Infection"/>
    <n v="41660"/>
    <n v="0"/>
    <x v="1"/>
    <x v="127"/>
    <x v="2"/>
    <x v="1"/>
    <x v="1"/>
    <x v="2"/>
    <x v="10"/>
  </r>
  <r>
    <x v="288"/>
    <s v="Rahul Verma"/>
    <x v="0"/>
    <s v="Migraine"/>
    <n v="31527"/>
    <n v="31060"/>
    <x v="0"/>
    <x v="202"/>
    <x v="177"/>
    <x v="1"/>
    <x v="2"/>
    <x v="0"/>
    <x v="11"/>
  </r>
  <r>
    <x v="289"/>
    <s v="Anil Reddy"/>
    <x v="1"/>
    <s v="Diabetes"/>
    <n v="42541"/>
    <n v="40907"/>
    <x v="0"/>
    <x v="10"/>
    <x v="178"/>
    <x v="0"/>
    <x v="3"/>
    <x v="3"/>
    <x v="2"/>
  </r>
  <r>
    <x v="290"/>
    <s v="Anil Reddy"/>
    <x v="1"/>
    <s v="Fracture"/>
    <n v="27534"/>
    <n v="26796"/>
    <x v="0"/>
    <x v="54"/>
    <x v="179"/>
    <x v="0"/>
    <x v="3"/>
    <x v="3"/>
    <x v="0"/>
  </r>
  <r>
    <x v="291"/>
    <s v="Arjun Singh"/>
    <x v="2"/>
    <s v="Migraine"/>
    <n v="8699"/>
    <n v="8521"/>
    <x v="0"/>
    <x v="149"/>
    <x v="180"/>
    <x v="1"/>
    <x v="0"/>
    <x v="9"/>
    <x v="7"/>
  </r>
  <r>
    <x v="292"/>
    <s v="Kavya Nair"/>
    <x v="1"/>
    <s v="Diabetes"/>
    <n v="3721"/>
    <n v="2997"/>
    <x v="0"/>
    <x v="19"/>
    <x v="125"/>
    <x v="1"/>
    <x v="1"/>
    <x v="3"/>
    <x v="10"/>
  </r>
  <r>
    <x v="293"/>
    <s v="Meena Gupta"/>
    <x v="0"/>
    <s v="Migraine"/>
    <n v="29119"/>
    <n v="27524"/>
    <x v="0"/>
    <x v="203"/>
    <x v="181"/>
    <x v="0"/>
    <x v="0"/>
    <x v="0"/>
    <x v="0"/>
  </r>
  <r>
    <x v="294"/>
    <s v="Kavya Nair"/>
    <x v="5"/>
    <s v="Asthma"/>
    <n v="13108"/>
    <n v="12558"/>
    <x v="0"/>
    <x v="204"/>
    <x v="182"/>
    <x v="1"/>
    <x v="4"/>
    <x v="10"/>
    <x v="3"/>
  </r>
  <r>
    <x v="295"/>
    <s v="Priya Sharma"/>
    <x v="5"/>
    <s v="Asthma"/>
    <n v="20085"/>
    <n v="19472"/>
    <x v="0"/>
    <x v="95"/>
    <x v="183"/>
    <x v="1"/>
    <x v="3"/>
    <x v="3"/>
    <x v="1"/>
  </r>
  <r>
    <x v="296"/>
    <s v="Kiran Patel"/>
    <x v="4"/>
    <s v="Cardiac Issue"/>
    <n v="32006"/>
    <n v="31729"/>
    <x v="0"/>
    <x v="205"/>
    <x v="129"/>
    <x v="1"/>
    <x v="3"/>
    <x v="5"/>
    <x v="3"/>
  </r>
  <r>
    <x v="297"/>
    <s v="Rohit Das"/>
    <x v="1"/>
    <s v="Infection"/>
    <n v="30850"/>
    <n v="29969"/>
    <x v="0"/>
    <x v="64"/>
    <x v="184"/>
    <x v="0"/>
    <x v="3"/>
    <x v="1"/>
    <x v="6"/>
  </r>
  <r>
    <x v="298"/>
    <s v="Rahul Verma"/>
    <x v="3"/>
    <s v="Covid"/>
    <n v="22590"/>
    <n v="20615"/>
    <x v="0"/>
    <x v="110"/>
    <x v="185"/>
    <x v="1"/>
    <x v="5"/>
    <x v="6"/>
    <x v="11"/>
  </r>
  <r>
    <x v="299"/>
    <s v="Arjun Singh"/>
    <x v="3"/>
    <s v="Infection"/>
    <n v="26645"/>
    <n v="24973"/>
    <x v="0"/>
    <x v="206"/>
    <x v="186"/>
    <x v="0"/>
    <x v="0"/>
    <x v="6"/>
    <x v="11"/>
  </r>
  <r>
    <x v="300"/>
    <s v="Kiran Patel"/>
    <x v="5"/>
    <s v="Fever"/>
    <n v="49658"/>
    <n v="47727"/>
    <x v="0"/>
    <x v="207"/>
    <x v="187"/>
    <x v="1"/>
    <x v="1"/>
    <x v="8"/>
    <x v="8"/>
  </r>
  <r>
    <x v="301"/>
    <s v="Sneha Iyer"/>
    <x v="0"/>
    <s v="Asthma"/>
    <n v="46104"/>
    <n v="45819"/>
    <x v="0"/>
    <x v="99"/>
    <x v="82"/>
    <x v="0"/>
    <x v="3"/>
    <x v="10"/>
    <x v="6"/>
  </r>
  <r>
    <x v="302"/>
    <s v="Anil Reddy"/>
    <x v="1"/>
    <s v="Asthma"/>
    <n v="6847"/>
    <n v="5623"/>
    <x v="0"/>
    <x v="156"/>
    <x v="73"/>
    <x v="1"/>
    <x v="0"/>
    <x v="1"/>
    <x v="1"/>
  </r>
  <r>
    <x v="303"/>
    <s v="Kavya Nair"/>
    <x v="1"/>
    <s v="Fever"/>
    <n v="25562"/>
    <n v="0"/>
    <x v="1"/>
    <x v="127"/>
    <x v="2"/>
    <x v="0"/>
    <x v="4"/>
    <x v="2"/>
    <x v="10"/>
  </r>
  <r>
    <x v="304"/>
    <s v="Kiran Patel"/>
    <x v="2"/>
    <s v="Fracture"/>
    <n v="44401"/>
    <n v="0"/>
    <x v="1"/>
    <x v="4"/>
    <x v="2"/>
    <x v="1"/>
    <x v="1"/>
    <x v="2"/>
    <x v="4"/>
  </r>
  <r>
    <x v="305"/>
    <s v="Rahul Verma"/>
    <x v="1"/>
    <s v="Diabetes"/>
    <n v="2691"/>
    <n v="2162"/>
    <x v="0"/>
    <x v="208"/>
    <x v="188"/>
    <x v="0"/>
    <x v="2"/>
    <x v="0"/>
    <x v="7"/>
  </r>
  <r>
    <x v="306"/>
    <s v="Rahul Verma"/>
    <x v="1"/>
    <s v="Covid"/>
    <n v="46535"/>
    <n v="0"/>
    <x v="1"/>
    <x v="209"/>
    <x v="2"/>
    <x v="0"/>
    <x v="3"/>
    <x v="2"/>
    <x v="8"/>
  </r>
  <r>
    <x v="307"/>
    <s v="Ravi Kumar"/>
    <x v="4"/>
    <s v="Diabetes"/>
    <n v="21361"/>
    <n v="19476"/>
    <x v="0"/>
    <x v="203"/>
    <x v="133"/>
    <x v="0"/>
    <x v="3"/>
    <x v="3"/>
    <x v="0"/>
  </r>
  <r>
    <x v="308"/>
    <s v="Sneha Iyer"/>
    <x v="2"/>
    <s v="Covid"/>
    <n v="15557"/>
    <n v="0"/>
    <x v="1"/>
    <x v="95"/>
    <x v="2"/>
    <x v="1"/>
    <x v="2"/>
    <x v="2"/>
    <x v="1"/>
  </r>
  <r>
    <x v="309"/>
    <s v="Priya Sharma"/>
    <x v="4"/>
    <s v="Covid"/>
    <n v="22900"/>
    <n v="22286"/>
    <x v="0"/>
    <x v="4"/>
    <x v="31"/>
    <x v="0"/>
    <x v="1"/>
    <x v="3"/>
    <x v="4"/>
  </r>
  <r>
    <x v="310"/>
    <s v="Rahul Verma"/>
    <x v="0"/>
    <s v="Fracture"/>
    <n v="17985"/>
    <n v="0"/>
    <x v="1"/>
    <x v="88"/>
    <x v="2"/>
    <x v="0"/>
    <x v="3"/>
    <x v="2"/>
    <x v="9"/>
  </r>
  <r>
    <x v="311"/>
    <s v="Kavya Nair"/>
    <x v="1"/>
    <s v="Covid"/>
    <n v="17194"/>
    <n v="15905"/>
    <x v="0"/>
    <x v="79"/>
    <x v="68"/>
    <x v="1"/>
    <x v="2"/>
    <x v="7"/>
    <x v="7"/>
  </r>
  <r>
    <x v="312"/>
    <s v="Ravi Kumar"/>
    <x v="3"/>
    <s v="Covid"/>
    <n v="40810"/>
    <n v="40014"/>
    <x v="0"/>
    <x v="210"/>
    <x v="12"/>
    <x v="0"/>
    <x v="3"/>
    <x v="8"/>
    <x v="4"/>
  </r>
  <r>
    <x v="313"/>
    <s v="Priya Sharma"/>
    <x v="0"/>
    <s v="Fracture"/>
    <n v="25972"/>
    <n v="25569"/>
    <x v="0"/>
    <x v="147"/>
    <x v="169"/>
    <x v="1"/>
    <x v="5"/>
    <x v="3"/>
    <x v="5"/>
  </r>
  <r>
    <x v="314"/>
    <s v="Arjun Singh"/>
    <x v="2"/>
    <s v="Asthma"/>
    <n v="42062"/>
    <n v="40860"/>
    <x v="0"/>
    <x v="13"/>
    <x v="189"/>
    <x v="1"/>
    <x v="1"/>
    <x v="6"/>
    <x v="0"/>
  </r>
  <r>
    <x v="315"/>
    <s v="Arjun Singh"/>
    <x v="5"/>
    <s v="Migraine"/>
    <n v="42270"/>
    <n v="0"/>
    <x v="1"/>
    <x v="203"/>
    <x v="2"/>
    <x v="0"/>
    <x v="3"/>
    <x v="2"/>
    <x v="0"/>
  </r>
  <r>
    <x v="316"/>
    <s v="Priya Sharma"/>
    <x v="3"/>
    <s v="Migraine"/>
    <n v="9664"/>
    <n v="8900"/>
    <x v="0"/>
    <x v="211"/>
    <x v="190"/>
    <x v="1"/>
    <x v="2"/>
    <x v="7"/>
    <x v="8"/>
  </r>
  <r>
    <x v="317"/>
    <s v="Rohit Das"/>
    <x v="5"/>
    <s v="Asthma"/>
    <n v="29724"/>
    <n v="28728"/>
    <x v="0"/>
    <x v="7"/>
    <x v="51"/>
    <x v="0"/>
    <x v="0"/>
    <x v="0"/>
    <x v="6"/>
  </r>
  <r>
    <x v="318"/>
    <s v="Anil Reddy"/>
    <x v="4"/>
    <s v="Migraine"/>
    <n v="11194"/>
    <n v="10550"/>
    <x v="0"/>
    <x v="70"/>
    <x v="21"/>
    <x v="0"/>
    <x v="1"/>
    <x v="1"/>
    <x v="5"/>
  </r>
  <r>
    <x v="319"/>
    <s v="Rahul Verma"/>
    <x v="0"/>
    <s v="Covid"/>
    <n v="10947"/>
    <n v="9278"/>
    <x v="0"/>
    <x v="212"/>
    <x v="80"/>
    <x v="1"/>
    <x v="2"/>
    <x v="0"/>
    <x v="11"/>
  </r>
  <r>
    <x v="320"/>
    <s v="Arjun Singh"/>
    <x v="1"/>
    <s v="Covid"/>
    <n v="34027"/>
    <n v="33858"/>
    <x v="0"/>
    <x v="31"/>
    <x v="160"/>
    <x v="0"/>
    <x v="3"/>
    <x v="5"/>
    <x v="10"/>
  </r>
  <r>
    <x v="321"/>
    <s v="Ravi Kumar"/>
    <x v="2"/>
    <s v="Cardiac Issue"/>
    <n v="37232"/>
    <n v="36888"/>
    <x v="0"/>
    <x v="147"/>
    <x v="109"/>
    <x v="1"/>
    <x v="0"/>
    <x v="1"/>
    <x v="5"/>
  </r>
  <r>
    <x v="322"/>
    <s v="Kavya Nair"/>
    <x v="0"/>
    <s v="Diabetes"/>
    <n v="19556"/>
    <n v="0"/>
    <x v="1"/>
    <x v="169"/>
    <x v="2"/>
    <x v="0"/>
    <x v="1"/>
    <x v="2"/>
    <x v="11"/>
  </r>
  <r>
    <x v="323"/>
    <s v="Arjun Singh"/>
    <x v="3"/>
    <s v="Asthma"/>
    <n v="8711"/>
    <n v="8102"/>
    <x v="0"/>
    <x v="213"/>
    <x v="31"/>
    <x v="1"/>
    <x v="3"/>
    <x v="4"/>
    <x v="4"/>
  </r>
  <r>
    <x v="324"/>
    <s v="Priya Sharma"/>
    <x v="4"/>
    <s v="Diabetes"/>
    <n v="17528"/>
    <n v="15868"/>
    <x v="0"/>
    <x v="82"/>
    <x v="191"/>
    <x v="1"/>
    <x v="4"/>
    <x v="6"/>
    <x v="10"/>
  </r>
  <r>
    <x v="325"/>
    <s v="Rohit Das"/>
    <x v="5"/>
    <s v="Cardiac Issue"/>
    <n v="15562"/>
    <n v="14395"/>
    <x v="0"/>
    <x v="214"/>
    <x v="192"/>
    <x v="1"/>
    <x v="0"/>
    <x v="0"/>
    <x v="3"/>
  </r>
  <r>
    <x v="326"/>
    <s v="Kavya Nair"/>
    <x v="5"/>
    <s v="Infection"/>
    <n v="48140"/>
    <n v="47548"/>
    <x v="0"/>
    <x v="215"/>
    <x v="107"/>
    <x v="0"/>
    <x v="4"/>
    <x v="10"/>
    <x v="10"/>
  </r>
  <r>
    <x v="327"/>
    <s v="Meena Gupta"/>
    <x v="0"/>
    <s v="Migraine"/>
    <n v="44984"/>
    <n v="43548"/>
    <x v="0"/>
    <x v="93"/>
    <x v="193"/>
    <x v="0"/>
    <x v="5"/>
    <x v="8"/>
    <x v="9"/>
  </r>
  <r>
    <x v="328"/>
    <s v="Rahul Verma"/>
    <x v="3"/>
    <s v="Asthma"/>
    <n v="34077"/>
    <n v="32895"/>
    <x v="0"/>
    <x v="216"/>
    <x v="7"/>
    <x v="1"/>
    <x v="2"/>
    <x v="10"/>
    <x v="6"/>
  </r>
  <r>
    <x v="329"/>
    <s v="Arjun Singh"/>
    <x v="0"/>
    <s v="Diabetes"/>
    <n v="28401"/>
    <n v="0"/>
    <x v="1"/>
    <x v="2"/>
    <x v="2"/>
    <x v="1"/>
    <x v="2"/>
    <x v="2"/>
    <x v="2"/>
  </r>
  <r>
    <x v="330"/>
    <s v="Arjun Singh"/>
    <x v="2"/>
    <s v="Fever"/>
    <n v="8104"/>
    <n v="6804"/>
    <x v="0"/>
    <x v="118"/>
    <x v="70"/>
    <x v="0"/>
    <x v="1"/>
    <x v="6"/>
    <x v="8"/>
  </r>
  <r>
    <x v="331"/>
    <s v="Kavya Nair"/>
    <x v="1"/>
    <s v="Cardiac Issue"/>
    <n v="30157"/>
    <n v="29144"/>
    <x v="0"/>
    <x v="217"/>
    <x v="194"/>
    <x v="1"/>
    <x v="3"/>
    <x v="6"/>
    <x v="2"/>
  </r>
  <r>
    <x v="332"/>
    <s v="Kavya Nair"/>
    <x v="5"/>
    <s v="Covid"/>
    <n v="24527"/>
    <n v="24433"/>
    <x v="0"/>
    <x v="218"/>
    <x v="104"/>
    <x v="0"/>
    <x v="4"/>
    <x v="4"/>
    <x v="0"/>
  </r>
  <r>
    <x v="333"/>
    <s v="Anil Reddy"/>
    <x v="4"/>
    <s v="Covid"/>
    <n v="2044"/>
    <n v="1630"/>
    <x v="0"/>
    <x v="84"/>
    <x v="10"/>
    <x v="1"/>
    <x v="4"/>
    <x v="7"/>
    <x v="8"/>
  </r>
  <r>
    <x v="334"/>
    <s v="Sneha Iyer"/>
    <x v="0"/>
    <s v="Infection"/>
    <n v="18409"/>
    <n v="17648"/>
    <x v="0"/>
    <x v="118"/>
    <x v="184"/>
    <x v="0"/>
    <x v="2"/>
    <x v="7"/>
    <x v="8"/>
  </r>
  <r>
    <x v="335"/>
    <s v="Sneha Iyer"/>
    <x v="3"/>
    <s v="Asthma"/>
    <n v="44957"/>
    <n v="43516"/>
    <x v="0"/>
    <x v="219"/>
    <x v="50"/>
    <x v="0"/>
    <x v="2"/>
    <x v="5"/>
    <x v="0"/>
  </r>
  <r>
    <x v="336"/>
    <s v="Priya Sharma"/>
    <x v="5"/>
    <s v="Cardiac Issue"/>
    <n v="36042"/>
    <n v="36023"/>
    <x v="0"/>
    <x v="103"/>
    <x v="172"/>
    <x v="0"/>
    <x v="1"/>
    <x v="6"/>
    <x v="4"/>
  </r>
  <r>
    <x v="337"/>
    <s v="Meena Gupta"/>
    <x v="5"/>
    <s v="Covid"/>
    <n v="6641"/>
    <n v="5857"/>
    <x v="0"/>
    <x v="220"/>
    <x v="195"/>
    <x v="0"/>
    <x v="3"/>
    <x v="3"/>
    <x v="0"/>
  </r>
  <r>
    <x v="338"/>
    <s v="Rahul Verma"/>
    <x v="2"/>
    <s v="Fracture"/>
    <n v="27082"/>
    <n v="25769"/>
    <x v="0"/>
    <x v="134"/>
    <x v="42"/>
    <x v="0"/>
    <x v="0"/>
    <x v="7"/>
    <x v="8"/>
  </r>
  <r>
    <x v="339"/>
    <s v="Rohit Das"/>
    <x v="0"/>
    <s v="Fracture"/>
    <n v="30842"/>
    <n v="29363"/>
    <x v="0"/>
    <x v="58"/>
    <x v="196"/>
    <x v="1"/>
    <x v="0"/>
    <x v="7"/>
    <x v="7"/>
  </r>
  <r>
    <x v="340"/>
    <s v="Arjun Singh"/>
    <x v="3"/>
    <s v="Diabetes"/>
    <n v="8584"/>
    <n v="7043"/>
    <x v="0"/>
    <x v="47"/>
    <x v="197"/>
    <x v="1"/>
    <x v="3"/>
    <x v="1"/>
    <x v="9"/>
  </r>
  <r>
    <x v="341"/>
    <s v="Meena Gupta"/>
    <x v="2"/>
    <s v="Fracture"/>
    <n v="18238"/>
    <n v="16918"/>
    <x v="0"/>
    <x v="203"/>
    <x v="195"/>
    <x v="1"/>
    <x v="1"/>
    <x v="8"/>
    <x v="0"/>
  </r>
  <r>
    <x v="342"/>
    <s v="Ravi Kumar"/>
    <x v="2"/>
    <s v="Cardiac Issue"/>
    <n v="35931"/>
    <n v="0"/>
    <x v="1"/>
    <x v="11"/>
    <x v="2"/>
    <x v="0"/>
    <x v="5"/>
    <x v="2"/>
    <x v="1"/>
  </r>
  <r>
    <x v="343"/>
    <s v="Meena Gupta"/>
    <x v="2"/>
    <s v="Fever"/>
    <n v="17685"/>
    <n v="16895"/>
    <x v="0"/>
    <x v="221"/>
    <x v="0"/>
    <x v="1"/>
    <x v="5"/>
    <x v="8"/>
    <x v="0"/>
  </r>
  <r>
    <x v="344"/>
    <s v="Rohit Das"/>
    <x v="0"/>
    <s v="Fever"/>
    <n v="25664"/>
    <n v="25394"/>
    <x v="0"/>
    <x v="222"/>
    <x v="89"/>
    <x v="1"/>
    <x v="3"/>
    <x v="1"/>
    <x v="11"/>
  </r>
  <r>
    <x v="345"/>
    <s v="Kavya Nair"/>
    <x v="5"/>
    <s v="Covid"/>
    <n v="6783"/>
    <n v="5581"/>
    <x v="0"/>
    <x v="20"/>
    <x v="17"/>
    <x v="1"/>
    <x v="4"/>
    <x v="5"/>
    <x v="0"/>
  </r>
  <r>
    <x v="346"/>
    <s v="Ravi Kumar"/>
    <x v="0"/>
    <s v="Asthma"/>
    <n v="35201"/>
    <n v="33914"/>
    <x v="0"/>
    <x v="223"/>
    <x v="198"/>
    <x v="1"/>
    <x v="2"/>
    <x v="0"/>
    <x v="8"/>
  </r>
  <r>
    <x v="347"/>
    <s v="Meena Gupta"/>
    <x v="0"/>
    <s v="Fracture"/>
    <n v="20184"/>
    <n v="19550"/>
    <x v="0"/>
    <x v="224"/>
    <x v="50"/>
    <x v="0"/>
    <x v="1"/>
    <x v="0"/>
    <x v="0"/>
  </r>
  <r>
    <x v="348"/>
    <s v="Anil Reddy"/>
    <x v="2"/>
    <s v="Asthma"/>
    <n v="40432"/>
    <n v="39797"/>
    <x v="0"/>
    <x v="196"/>
    <x v="199"/>
    <x v="0"/>
    <x v="4"/>
    <x v="9"/>
    <x v="8"/>
  </r>
  <r>
    <x v="349"/>
    <s v="Kiran Patel"/>
    <x v="0"/>
    <s v="Asthma"/>
    <n v="9601"/>
    <n v="8348"/>
    <x v="0"/>
    <x v="225"/>
    <x v="200"/>
    <x v="1"/>
    <x v="5"/>
    <x v="5"/>
    <x v="6"/>
  </r>
  <r>
    <x v="350"/>
    <s v="Anil Reddy"/>
    <x v="0"/>
    <s v="Fever"/>
    <n v="48392"/>
    <n v="46956"/>
    <x v="0"/>
    <x v="226"/>
    <x v="201"/>
    <x v="1"/>
    <x v="3"/>
    <x v="7"/>
    <x v="4"/>
  </r>
  <r>
    <x v="351"/>
    <s v="Kavya Nair"/>
    <x v="2"/>
    <s v="Fracture"/>
    <n v="26370"/>
    <n v="24835"/>
    <x v="0"/>
    <x v="217"/>
    <x v="202"/>
    <x v="0"/>
    <x v="3"/>
    <x v="3"/>
    <x v="2"/>
  </r>
  <r>
    <x v="352"/>
    <s v="Meena Gupta"/>
    <x v="2"/>
    <s v="Diabetes"/>
    <n v="19232"/>
    <n v="0"/>
    <x v="1"/>
    <x v="227"/>
    <x v="2"/>
    <x v="0"/>
    <x v="2"/>
    <x v="2"/>
    <x v="6"/>
  </r>
  <r>
    <x v="353"/>
    <s v="Arjun Singh"/>
    <x v="2"/>
    <s v="Fever"/>
    <n v="34742"/>
    <n v="0"/>
    <x v="1"/>
    <x v="228"/>
    <x v="2"/>
    <x v="1"/>
    <x v="4"/>
    <x v="2"/>
    <x v="9"/>
  </r>
  <r>
    <x v="354"/>
    <s v="Sneha Iyer"/>
    <x v="0"/>
    <s v="Diabetes"/>
    <n v="16968"/>
    <n v="0"/>
    <x v="1"/>
    <x v="14"/>
    <x v="2"/>
    <x v="0"/>
    <x v="1"/>
    <x v="2"/>
    <x v="4"/>
  </r>
  <r>
    <x v="355"/>
    <s v="Ravi Kumar"/>
    <x v="3"/>
    <s v="Fever"/>
    <n v="32917"/>
    <n v="32133"/>
    <x v="0"/>
    <x v="140"/>
    <x v="148"/>
    <x v="0"/>
    <x v="0"/>
    <x v="7"/>
    <x v="9"/>
  </r>
  <r>
    <x v="356"/>
    <s v="Meena Gupta"/>
    <x v="3"/>
    <s v="Infection"/>
    <n v="18270"/>
    <n v="16395"/>
    <x v="0"/>
    <x v="57"/>
    <x v="203"/>
    <x v="0"/>
    <x v="0"/>
    <x v="10"/>
    <x v="3"/>
  </r>
  <r>
    <x v="357"/>
    <s v="Rahul Verma"/>
    <x v="0"/>
    <s v="Fever"/>
    <n v="13753"/>
    <n v="12106"/>
    <x v="0"/>
    <x v="18"/>
    <x v="204"/>
    <x v="1"/>
    <x v="4"/>
    <x v="5"/>
    <x v="1"/>
  </r>
  <r>
    <x v="358"/>
    <s v="Arjun Singh"/>
    <x v="2"/>
    <s v="Migraine"/>
    <n v="23449"/>
    <n v="22317"/>
    <x v="0"/>
    <x v="97"/>
    <x v="56"/>
    <x v="1"/>
    <x v="4"/>
    <x v="5"/>
    <x v="5"/>
  </r>
  <r>
    <x v="359"/>
    <s v="Sneha Iyer"/>
    <x v="2"/>
    <s v="Cardiac Issue"/>
    <n v="32403"/>
    <n v="31192"/>
    <x v="0"/>
    <x v="229"/>
    <x v="205"/>
    <x v="0"/>
    <x v="4"/>
    <x v="8"/>
    <x v="1"/>
  </r>
  <r>
    <x v="360"/>
    <s v="Ravi Kumar"/>
    <x v="1"/>
    <s v="Fever"/>
    <n v="17269"/>
    <n v="0"/>
    <x v="1"/>
    <x v="185"/>
    <x v="2"/>
    <x v="0"/>
    <x v="3"/>
    <x v="2"/>
    <x v="3"/>
  </r>
  <r>
    <x v="361"/>
    <s v="Ravi Kumar"/>
    <x v="1"/>
    <s v="Migraine"/>
    <n v="8812"/>
    <n v="7727"/>
    <x v="0"/>
    <x v="41"/>
    <x v="178"/>
    <x v="1"/>
    <x v="4"/>
    <x v="9"/>
    <x v="2"/>
  </r>
  <r>
    <x v="362"/>
    <s v="Anil Reddy"/>
    <x v="2"/>
    <s v="Diabetes"/>
    <n v="4877"/>
    <n v="3040"/>
    <x v="0"/>
    <x v="46"/>
    <x v="206"/>
    <x v="1"/>
    <x v="2"/>
    <x v="9"/>
    <x v="1"/>
  </r>
  <r>
    <x v="363"/>
    <s v="Priya Sharma"/>
    <x v="0"/>
    <s v="Fracture"/>
    <n v="43760"/>
    <n v="43607"/>
    <x v="0"/>
    <x v="230"/>
    <x v="110"/>
    <x v="0"/>
    <x v="2"/>
    <x v="1"/>
    <x v="10"/>
  </r>
  <r>
    <x v="364"/>
    <s v="Anil Reddy"/>
    <x v="3"/>
    <s v="Migraine"/>
    <n v="19104"/>
    <n v="17208"/>
    <x v="0"/>
    <x v="206"/>
    <x v="186"/>
    <x v="1"/>
    <x v="2"/>
    <x v="6"/>
    <x v="11"/>
  </r>
  <r>
    <x v="365"/>
    <s v="Sneha Iyer"/>
    <x v="3"/>
    <s v="Diabetes"/>
    <n v="15284"/>
    <n v="13687"/>
    <x v="0"/>
    <x v="231"/>
    <x v="143"/>
    <x v="0"/>
    <x v="4"/>
    <x v="3"/>
    <x v="10"/>
  </r>
  <r>
    <x v="366"/>
    <s v="Anil Reddy"/>
    <x v="4"/>
    <s v="Covid"/>
    <n v="22580"/>
    <n v="22333"/>
    <x v="0"/>
    <x v="232"/>
    <x v="151"/>
    <x v="0"/>
    <x v="2"/>
    <x v="6"/>
    <x v="10"/>
  </r>
  <r>
    <x v="367"/>
    <s v="Sneha Iyer"/>
    <x v="4"/>
    <s v="Migraine"/>
    <n v="9858"/>
    <n v="9536"/>
    <x v="0"/>
    <x v="233"/>
    <x v="207"/>
    <x v="0"/>
    <x v="4"/>
    <x v="10"/>
    <x v="8"/>
  </r>
  <r>
    <x v="368"/>
    <s v="Rahul Verma"/>
    <x v="5"/>
    <s v="Diabetes"/>
    <n v="48606"/>
    <n v="46623"/>
    <x v="0"/>
    <x v="202"/>
    <x v="79"/>
    <x v="0"/>
    <x v="5"/>
    <x v="9"/>
    <x v="11"/>
  </r>
  <r>
    <x v="369"/>
    <s v="Sneha Iyer"/>
    <x v="2"/>
    <s v="Fracture"/>
    <n v="4036"/>
    <n v="2286"/>
    <x v="0"/>
    <x v="234"/>
    <x v="21"/>
    <x v="0"/>
    <x v="4"/>
    <x v="0"/>
    <x v="5"/>
  </r>
  <r>
    <x v="370"/>
    <s v="Arjun Singh"/>
    <x v="0"/>
    <s v="Fracture"/>
    <n v="9959"/>
    <n v="9833"/>
    <x v="0"/>
    <x v="208"/>
    <x v="175"/>
    <x v="0"/>
    <x v="1"/>
    <x v="7"/>
    <x v="7"/>
  </r>
  <r>
    <x v="371"/>
    <s v="Meena Gupta"/>
    <x v="2"/>
    <s v="Diabetes"/>
    <n v="40163"/>
    <n v="0"/>
    <x v="1"/>
    <x v="235"/>
    <x v="2"/>
    <x v="0"/>
    <x v="4"/>
    <x v="2"/>
    <x v="2"/>
  </r>
  <r>
    <x v="372"/>
    <s v="Priya Sharma"/>
    <x v="3"/>
    <s v="Covid"/>
    <n v="10440"/>
    <n v="8587"/>
    <x v="0"/>
    <x v="236"/>
    <x v="208"/>
    <x v="0"/>
    <x v="2"/>
    <x v="3"/>
    <x v="3"/>
  </r>
  <r>
    <x v="373"/>
    <s v="Ravi Kumar"/>
    <x v="5"/>
    <s v="Asthma"/>
    <n v="49476"/>
    <n v="48460"/>
    <x v="0"/>
    <x v="237"/>
    <x v="209"/>
    <x v="1"/>
    <x v="4"/>
    <x v="9"/>
    <x v="4"/>
  </r>
  <r>
    <x v="374"/>
    <s v="Rahul Verma"/>
    <x v="3"/>
    <s v="Fracture"/>
    <n v="20021"/>
    <n v="19108"/>
    <x v="0"/>
    <x v="140"/>
    <x v="91"/>
    <x v="0"/>
    <x v="5"/>
    <x v="5"/>
    <x v="9"/>
  </r>
  <r>
    <x v="375"/>
    <s v="Sneha Iyer"/>
    <x v="4"/>
    <s v="Asthma"/>
    <n v="38089"/>
    <n v="37965"/>
    <x v="0"/>
    <x v="238"/>
    <x v="50"/>
    <x v="1"/>
    <x v="4"/>
    <x v="10"/>
    <x v="0"/>
  </r>
  <r>
    <x v="376"/>
    <s v="Meena Gupta"/>
    <x v="3"/>
    <s v="Cardiac Issue"/>
    <n v="43337"/>
    <n v="0"/>
    <x v="1"/>
    <x v="124"/>
    <x v="2"/>
    <x v="1"/>
    <x v="1"/>
    <x v="2"/>
    <x v="4"/>
  </r>
  <r>
    <x v="377"/>
    <s v="Rahul Verma"/>
    <x v="4"/>
    <s v="Covid"/>
    <n v="24546"/>
    <n v="0"/>
    <x v="1"/>
    <x v="239"/>
    <x v="2"/>
    <x v="1"/>
    <x v="2"/>
    <x v="2"/>
    <x v="1"/>
  </r>
  <r>
    <x v="378"/>
    <s v="Sneha Iyer"/>
    <x v="5"/>
    <s v="Fever"/>
    <n v="22897"/>
    <n v="0"/>
    <x v="1"/>
    <x v="8"/>
    <x v="2"/>
    <x v="0"/>
    <x v="1"/>
    <x v="2"/>
    <x v="7"/>
  </r>
  <r>
    <x v="379"/>
    <s v="Sneha Iyer"/>
    <x v="0"/>
    <s v="Covid"/>
    <n v="36696"/>
    <n v="35126"/>
    <x v="0"/>
    <x v="231"/>
    <x v="210"/>
    <x v="0"/>
    <x v="4"/>
    <x v="8"/>
    <x v="10"/>
  </r>
  <r>
    <x v="380"/>
    <s v="Kiran Patel"/>
    <x v="3"/>
    <s v="Migraine"/>
    <n v="36975"/>
    <n v="35411"/>
    <x v="0"/>
    <x v="8"/>
    <x v="188"/>
    <x v="1"/>
    <x v="3"/>
    <x v="1"/>
    <x v="7"/>
  </r>
  <r>
    <x v="381"/>
    <s v="Anil Reddy"/>
    <x v="5"/>
    <s v="Cardiac Issue"/>
    <n v="40831"/>
    <n v="39180"/>
    <x v="0"/>
    <x v="196"/>
    <x v="211"/>
    <x v="0"/>
    <x v="5"/>
    <x v="6"/>
    <x v="8"/>
  </r>
  <r>
    <x v="382"/>
    <s v="Rahul Verma"/>
    <x v="5"/>
    <s v="Cardiac Issue"/>
    <n v="34258"/>
    <n v="0"/>
    <x v="1"/>
    <x v="240"/>
    <x v="2"/>
    <x v="0"/>
    <x v="2"/>
    <x v="2"/>
    <x v="3"/>
  </r>
  <r>
    <x v="383"/>
    <s v="Ravi Kumar"/>
    <x v="0"/>
    <s v="Fever"/>
    <n v="17245"/>
    <n v="0"/>
    <x v="1"/>
    <x v="8"/>
    <x v="2"/>
    <x v="0"/>
    <x v="0"/>
    <x v="2"/>
    <x v="7"/>
  </r>
  <r>
    <x v="384"/>
    <s v="Arjun Singh"/>
    <x v="0"/>
    <s v="Infection"/>
    <n v="42247"/>
    <n v="40596"/>
    <x v="0"/>
    <x v="117"/>
    <x v="212"/>
    <x v="0"/>
    <x v="1"/>
    <x v="6"/>
    <x v="9"/>
  </r>
  <r>
    <x v="385"/>
    <s v="Rahul Verma"/>
    <x v="0"/>
    <s v="Fever"/>
    <n v="11680"/>
    <n v="0"/>
    <x v="1"/>
    <x v="123"/>
    <x v="2"/>
    <x v="0"/>
    <x v="1"/>
    <x v="2"/>
    <x v="8"/>
  </r>
  <r>
    <x v="386"/>
    <s v="Priya Sharma"/>
    <x v="2"/>
    <s v="Diabetes"/>
    <n v="26483"/>
    <n v="25283"/>
    <x v="0"/>
    <x v="33"/>
    <x v="213"/>
    <x v="1"/>
    <x v="3"/>
    <x v="6"/>
    <x v="0"/>
  </r>
  <r>
    <x v="387"/>
    <s v="Anil Reddy"/>
    <x v="5"/>
    <s v="Asthma"/>
    <n v="43894"/>
    <n v="42565"/>
    <x v="0"/>
    <x v="241"/>
    <x v="214"/>
    <x v="1"/>
    <x v="4"/>
    <x v="7"/>
    <x v="3"/>
  </r>
  <r>
    <x v="388"/>
    <s v="Rohit Das"/>
    <x v="5"/>
    <s v="Asthma"/>
    <n v="22107"/>
    <n v="21847"/>
    <x v="0"/>
    <x v="242"/>
    <x v="13"/>
    <x v="1"/>
    <x v="1"/>
    <x v="5"/>
    <x v="9"/>
  </r>
  <r>
    <x v="389"/>
    <s v="Rohit Das"/>
    <x v="0"/>
    <s v="Fracture"/>
    <n v="41478"/>
    <n v="39592"/>
    <x v="0"/>
    <x v="243"/>
    <x v="111"/>
    <x v="0"/>
    <x v="2"/>
    <x v="8"/>
    <x v="6"/>
  </r>
  <r>
    <x v="390"/>
    <s v="Anil Reddy"/>
    <x v="2"/>
    <s v="Diabetes"/>
    <n v="17597"/>
    <n v="16943"/>
    <x v="0"/>
    <x v="228"/>
    <x v="215"/>
    <x v="1"/>
    <x v="2"/>
    <x v="3"/>
    <x v="9"/>
  </r>
  <r>
    <x v="391"/>
    <s v="Ravi Kumar"/>
    <x v="2"/>
    <s v="Cardiac Issue"/>
    <n v="18353"/>
    <n v="17636"/>
    <x v="0"/>
    <x v="179"/>
    <x v="170"/>
    <x v="0"/>
    <x v="4"/>
    <x v="3"/>
    <x v="2"/>
  </r>
  <r>
    <x v="392"/>
    <s v="Meena Gupta"/>
    <x v="4"/>
    <s v="Asthma"/>
    <n v="12901"/>
    <n v="11892"/>
    <x v="0"/>
    <x v="244"/>
    <x v="119"/>
    <x v="1"/>
    <x v="4"/>
    <x v="6"/>
    <x v="11"/>
  </r>
  <r>
    <x v="393"/>
    <s v="Arjun Singh"/>
    <x v="3"/>
    <s v="Fracture"/>
    <n v="31575"/>
    <n v="29939"/>
    <x v="0"/>
    <x v="245"/>
    <x v="209"/>
    <x v="0"/>
    <x v="3"/>
    <x v="10"/>
    <x v="4"/>
  </r>
  <r>
    <x v="394"/>
    <s v="Sneha Iyer"/>
    <x v="0"/>
    <s v="Diabetes"/>
    <n v="24400"/>
    <n v="22582"/>
    <x v="0"/>
    <x v="133"/>
    <x v="71"/>
    <x v="0"/>
    <x v="0"/>
    <x v="7"/>
    <x v="11"/>
  </r>
  <r>
    <x v="395"/>
    <s v="Priya Sharma"/>
    <x v="2"/>
    <s v="Covid"/>
    <n v="48170"/>
    <n v="47287"/>
    <x v="0"/>
    <x v="246"/>
    <x v="216"/>
    <x v="1"/>
    <x v="4"/>
    <x v="7"/>
    <x v="6"/>
  </r>
  <r>
    <x v="396"/>
    <s v="Ravi Kumar"/>
    <x v="0"/>
    <s v="Infection"/>
    <n v="15470"/>
    <n v="14632"/>
    <x v="0"/>
    <x v="27"/>
    <x v="23"/>
    <x v="1"/>
    <x v="5"/>
    <x v="0"/>
    <x v="8"/>
  </r>
  <r>
    <x v="397"/>
    <s v="Sneha Iyer"/>
    <x v="2"/>
    <s v="Cardiac Issue"/>
    <n v="8285"/>
    <n v="7481"/>
    <x v="0"/>
    <x v="247"/>
    <x v="143"/>
    <x v="1"/>
    <x v="4"/>
    <x v="0"/>
    <x v="10"/>
  </r>
  <r>
    <x v="398"/>
    <s v="Ravi Kumar"/>
    <x v="2"/>
    <s v="Fever"/>
    <n v="30023"/>
    <n v="29420"/>
    <x v="0"/>
    <x v="83"/>
    <x v="26"/>
    <x v="1"/>
    <x v="4"/>
    <x v="1"/>
    <x v="8"/>
  </r>
  <r>
    <x v="399"/>
    <s v="Priya Sharma"/>
    <x v="0"/>
    <s v="Cardiac Issue"/>
    <n v="13195"/>
    <n v="13028"/>
    <x v="0"/>
    <x v="190"/>
    <x v="109"/>
    <x v="1"/>
    <x v="1"/>
    <x v="3"/>
    <x v="5"/>
  </r>
  <r>
    <x v="400"/>
    <s v="Meena Gupta"/>
    <x v="4"/>
    <s v="Covid"/>
    <n v="45321"/>
    <n v="45135"/>
    <x v="0"/>
    <x v="161"/>
    <x v="216"/>
    <x v="1"/>
    <x v="4"/>
    <x v="0"/>
    <x v="6"/>
  </r>
  <r>
    <x v="401"/>
    <s v="Rahul Verma"/>
    <x v="1"/>
    <s v="Infection"/>
    <n v="14227"/>
    <n v="14136"/>
    <x v="0"/>
    <x v="38"/>
    <x v="157"/>
    <x v="1"/>
    <x v="3"/>
    <x v="4"/>
    <x v="2"/>
  </r>
  <r>
    <x v="402"/>
    <s v="Kiran Patel"/>
    <x v="2"/>
    <s v="Fever"/>
    <n v="11904"/>
    <n v="11729"/>
    <x v="0"/>
    <x v="65"/>
    <x v="26"/>
    <x v="1"/>
    <x v="1"/>
    <x v="6"/>
    <x v="8"/>
  </r>
  <r>
    <x v="403"/>
    <s v="Rohit Das"/>
    <x v="3"/>
    <s v="Fever"/>
    <n v="27369"/>
    <n v="0"/>
    <x v="1"/>
    <x v="141"/>
    <x v="2"/>
    <x v="1"/>
    <x v="0"/>
    <x v="2"/>
    <x v="5"/>
  </r>
  <r>
    <x v="404"/>
    <s v="Kiran Patel"/>
    <x v="4"/>
    <s v="Migraine"/>
    <n v="7174"/>
    <n v="5326"/>
    <x v="0"/>
    <x v="170"/>
    <x v="187"/>
    <x v="0"/>
    <x v="4"/>
    <x v="5"/>
    <x v="8"/>
  </r>
  <r>
    <x v="405"/>
    <s v="Arjun Singh"/>
    <x v="5"/>
    <s v="Fracture"/>
    <n v="15886"/>
    <n v="15628"/>
    <x v="0"/>
    <x v="176"/>
    <x v="29"/>
    <x v="0"/>
    <x v="5"/>
    <x v="9"/>
    <x v="4"/>
  </r>
  <r>
    <x v="406"/>
    <s v="Meena Gupta"/>
    <x v="3"/>
    <s v="Fracture"/>
    <n v="40997"/>
    <n v="40343"/>
    <x v="0"/>
    <x v="20"/>
    <x v="5"/>
    <x v="1"/>
    <x v="0"/>
    <x v="3"/>
    <x v="0"/>
  </r>
  <r>
    <x v="407"/>
    <s v="Meena Gupta"/>
    <x v="2"/>
    <s v="Migraine"/>
    <n v="36058"/>
    <n v="34180"/>
    <x v="0"/>
    <x v="248"/>
    <x v="217"/>
    <x v="1"/>
    <x v="4"/>
    <x v="1"/>
    <x v="4"/>
  </r>
  <r>
    <x v="408"/>
    <s v="Meena Gupta"/>
    <x v="5"/>
    <s v="Fracture"/>
    <n v="39132"/>
    <n v="0"/>
    <x v="1"/>
    <x v="249"/>
    <x v="2"/>
    <x v="0"/>
    <x v="4"/>
    <x v="2"/>
    <x v="10"/>
  </r>
  <r>
    <x v="409"/>
    <s v="Rohit Das"/>
    <x v="0"/>
    <s v="Migraine"/>
    <n v="37103"/>
    <n v="35306"/>
    <x v="0"/>
    <x v="250"/>
    <x v="69"/>
    <x v="1"/>
    <x v="5"/>
    <x v="10"/>
    <x v="11"/>
  </r>
  <r>
    <x v="410"/>
    <s v="Arjun Singh"/>
    <x v="4"/>
    <s v="Fever"/>
    <n v="13285"/>
    <n v="12460"/>
    <x v="0"/>
    <x v="164"/>
    <x v="34"/>
    <x v="1"/>
    <x v="4"/>
    <x v="1"/>
    <x v="9"/>
  </r>
  <r>
    <x v="411"/>
    <s v="Meena Gupta"/>
    <x v="2"/>
    <s v="Cardiac Issue"/>
    <n v="5230"/>
    <n v="3345"/>
    <x v="0"/>
    <x v="217"/>
    <x v="194"/>
    <x v="0"/>
    <x v="3"/>
    <x v="6"/>
    <x v="2"/>
  </r>
  <r>
    <x v="412"/>
    <s v="Sneha Iyer"/>
    <x v="2"/>
    <s v="Migraine"/>
    <n v="34218"/>
    <n v="32227"/>
    <x v="0"/>
    <x v="251"/>
    <x v="101"/>
    <x v="1"/>
    <x v="5"/>
    <x v="7"/>
    <x v="7"/>
  </r>
  <r>
    <x v="413"/>
    <s v="Arjun Singh"/>
    <x v="2"/>
    <s v="Migraine"/>
    <n v="49762"/>
    <n v="48524"/>
    <x v="0"/>
    <x v="129"/>
    <x v="218"/>
    <x v="0"/>
    <x v="2"/>
    <x v="3"/>
    <x v="6"/>
  </r>
  <r>
    <x v="414"/>
    <s v="Kiran Patel"/>
    <x v="1"/>
    <s v="Covid"/>
    <n v="35849"/>
    <n v="34168"/>
    <x v="0"/>
    <x v="158"/>
    <x v="8"/>
    <x v="0"/>
    <x v="4"/>
    <x v="0"/>
    <x v="4"/>
  </r>
  <r>
    <x v="415"/>
    <s v="Sneha Iyer"/>
    <x v="1"/>
    <s v="Fracture"/>
    <n v="36359"/>
    <n v="0"/>
    <x v="1"/>
    <x v="252"/>
    <x v="2"/>
    <x v="0"/>
    <x v="4"/>
    <x v="2"/>
    <x v="4"/>
  </r>
  <r>
    <x v="416"/>
    <s v="Kiran Patel"/>
    <x v="0"/>
    <s v="Cardiac Issue"/>
    <n v="4167"/>
    <n v="4064"/>
    <x v="0"/>
    <x v="77"/>
    <x v="192"/>
    <x v="1"/>
    <x v="3"/>
    <x v="8"/>
    <x v="11"/>
  </r>
  <r>
    <x v="417"/>
    <s v="Arjun Singh"/>
    <x v="1"/>
    <s v="Diabetes"/>
    <n v="46641"/>
    <n v="46146"/>
    <x v="0"/>
    <x v="136"/>
    <x v="219"/>
    <x v="1"/>
    <x v="4"/>
    <x v="4"/>
    <x v="11"/>
  </r>
  <r>
    <x v="418"/>
    <s v="Arjun Singh"/>
    <x v="2"/>
    <s v="Infection"/>
    <n v="12716"/>
    <n v="11183"/>
    <x v="0"/>
    <x v="84"/>
    <x v="220"/>
    <x v="1"/>
    <x v="4"/>
    <x v="3"/>
    <x v="8"/>
  </r>
  <r>
    <x v="419"/>
    <s v="Meena Gupta"/>
    <x v="0"/>
    <s v="Fracture"/>
    <n v="39503"/>
    <n v="37748"/>
    <x v="0"/>
    <x v="208"/>
    <x v="221"/>
    <x v="0"/>
    <x v="3"/>
    <x v="8"/>
    <x v="7"/>
  </r>
  <r>
    <x v="420"/>
    <s v="Meena Gupta"/>
    <x v="0"/>
    <s v="Fever"/>
    <n v="33070"/>
    <n v="31745"/>
    <x v="0"/>
    <x v="253"/>
    <x v="222"/>
    <x v="0"/>
    <x v="4"/>
    <x v="1"/>
    <x v="9"/>
  </r>
  <r>
    <x v="421"/>
    <s v="Sneha Iyer"/>
    <x v="2"/>
    <s v="Migraine"/>
    <n v="29774"/>
    <n v="28030"/>
    <x v="0"/>
    <x v="254"/>
    <x v="223"/>
    <x v="1"/>
    <x v="4"/>
    <x v="4"/>
    <x v="3"/>
  </r>
  <r>
    <x v="422"/>
    <s v="Arjun Singh"/>
    <x v="2"/>
    <s v="Asthma"/>
    <n v="40304"/>
    <n v="40289"/>
    <x v="0"/>
    <x v="255"/>
    <x v="224"/>
    <x v="1"/>
    <x v="3"/>
    <x v="6"/>
    <x v="1"/>
  </r>
  <r>
    <x v="423"/>
    <s v="Priya Sharma"/>
    <x v="4"/>
    <s v="Diabetes"/>
    <n v="24038"/>
    <n v="22727"/>
    <x v="0"/>
    <x v="71"/>
    <x v="208"/>
    <x v="1"/>
    <x v="5"/>
    <x v="10"/>
    <x v="3"/>
  </r>
  <r>
    <x v="424"/>
    <s v="Sneha Iyer"/>
    <x v="3"/>
    <s v="Fracture"/>
    <n v="35901"/>
    <n v="34059"/>
    <x v="0"/>
    <x v="256"/>
    <x v="225"/>
    <x v="1"/>
    <x v="5"/>
    <x v="1"/>
    <x v="4"/>
  </r>
  <r>
    <x v="425"/>
    <s v="Rahul Verma"/>
    <x v="5"/>
    <s v="Fever"/>
    <n v="44952"/>
    <n v="44347"/>
    <x v="0"/>
    <x v="235"/>
    <x v="202"/>
    <x v="1"/>
    <x v="2"/>
    <x v="9"/>
    <x v="2"/>
  </r>
  <r>
    <x v="426"/>
    <s v="Ravi Kumar"/>
    <x v="3"/>
    <s v="Infection"/>
    <n v="49615"/>
    <n v="48210"/>
    <x v="0"/>
    <x v="257"/>
    <x v="226"/>
    <x v="1"/>
    <x v="0"/>
    <x v="4"/>
    <x v="1"/>
  </r>
  <r>
    <x v="427"/>
    <s v="Sneha Iyer"/>
    <x v="5"/>
    <s v="Fracture"/>
    <n v="21253"/>
    <n v="20289"/>
    <x v="0"/>
    <x v="48"/>
    <x v="44"/>
    <x v="0"/>
    <x v="5"/>
    <x v="10"/>
    <x v="9"/>
  </r>
  <r>
    <x v="428"/>
    <s v="Rahul Verma"/>
    <x v="0"/>
    <s v="Cardiac Issue"/>
    <n v="25283"/>
    <n v="23759"/>
    <x v="0"/>
    <x v="16"/>
    <x v="227"/>
    <x v="1"/>
    <x v="3"/>
    <x v="9"/>
    <x v="3"/>
  </r>
  <r>
    <x v="429"/>
    <s v="Sneha Iyer"/>
    <x v="2"/>
    <s v="Covid"/>
    <n v="9718"/>
    <n v="9609"/>
    <x v="0"/>
    <x v="99"/>
    <x v="51"/>
    <x v="0"/>
    <x v="2"/>
    <x v="1"/>
    <x v="6"/>
  </r>
  <r>
    <x v="430"/>
    <s v="Kiran Patel"/>
    <x v="0"/>
    <s v="Asthma"/>
    <n v="36723"/>
    <n v="35877"/>
    <x v="0"/>
    <x v="258"/>
    <x v="4"/>
    <x v="0"/>
    <x v="4"/>
    <x v="7"/>
    <x v="4"/>
  </r>
  <r>
    <x v="431"/>
    <s v="Rahul Verma"/>
    <x v="1"/>
    <s v="Covid"/>
    <n v="11386"/>
    <n v="9620"/>
    <x v="0"/>
    <x v="259"/>
    <x v="228"/>
    <x v="1"/>
    <x v="3"/>
    <x v="3"/>
    <x v="7"/>
  </r>
  <r>
    <x v="432"/>
    <s v="Anil Reddy"/>
    <x v="2"/>
    <s v="Fever"/>
    <n v="2308"/>
    <n v="1748"/>
    <x v="0"/>
    <x v="260"/>
    <x v="229"/>
    <x v="0"/>
    <x v="2"/>
    <x v="7"/>
    <x v="7"/>
  </r>
  <r>
    <x v="433"/>
    <s v="Priya Sharma"/>
    <x v="5"/>
    <s v="Asthma"/>
    <n v="43516"/>
    <n v="42690"/>
    <x v="0"/>
    <x v="67"/>
    <x v="54"/>
    <x v="1"/>
    <x v="4"/>
    <x v="4"/>
    <x v="5"/>
  </r>
  <r>
    <x v="434"/>
    <s v="Ravi Kumar"/>
    <x v="3"/>
    <s v="Infection"/>
    <n v="2922"/>
    <n v="1372"/>
    <x v="0"/>
    <x v="29"/>
    <x v="39"/>
    <x v="0"/>
    <x v="5"/>
    <x v="8"/>
    <x v="1"/>
  </r>
  <r>
    <x v="435"/>
    <s v="Ravi Kumar"/>
    <x v="3"/>
    <s v="Cardiac Issue"/>
    <n v="47450"/>
    <n v="46811"/>
    <x v="0"/>
    <x v="117"/>
    <x v="40"/>
    <x v="1"/>
    <x v="0"/>
    <x v="3"/>
    <x v="9"/>
  </r>
  <r>
    <x v="436"/>
    <s v="Rohit Das"/>
    <x v="2"/>
    <s v="Fracture"/>
    <n v="6278"/>
    <n v="5668"/>
    <x v="0"/>
    <x v="162"/>
    <x v="129"/>
    <x v="1"/>
    <x v="2"/>
    <x v="4"/>
    <x v="2"/>
  </r>
  <r>
    <x v="437"/>
    <s v="Anil Reddy"/>
    <x v="2"/>
    <s v="Covid"/>
    <n v="25543"/>
    <n v="25206"/>
    <x v="0"/>
    <x v="91"/>
    <x v="186"/>
    <x v="0"/>
    <x v="4"/>
    <x v="5"/>
    <x v="11"/>
  </r>
  <r>
    <x v="438"/>
    <s v="Anil Reddy"/>
    <x v="3"/>
    <s v="Fever"/>
    <n v="40646"/>
    <n v="0"/>
    <x v="1"/>
    <x v="261"/>
    <x v="2"/>
    <x v="0"/>
    <x v="3"/>
    <x v="2"/>
    <x v="9"/>
  </r>
  <r>
    <x v="439"/>
    <s v="Ravi Kumar"/>
    <x v="1"/>
    <s v="Migraine"/>
    <n v="37044"/>
    <n v="0"/>
    <x v="1"/>
    <x v="262"/>
    <x v="2"/>
    <x v="0"/>
    <x v="5"/>
    <x v="2"/>
    <x v="4"/>
  </r>
  <r>
    <x v="440"/>
    <s v="Priya Sharma"/>
    <x v="0"/>
    <s v="Fever"/>
    <n v="47203"/>
    <n v="46350"/>
    <x v="0"/>
    <x v="109"/>
    <x v="56"/>
    <x v="0"/>
    <x v="0"/>
    <x v="9"/>
    <x v="5"/>
  </r>
  <r>
    <x v="441"/>
    <s v="Sneha Iyer"/>
    <x v="4"/>
    <s v="Fracture"/>
    <n v="15467"/>
    <n v="14851"/>
    <x v="0"/>
    <x v="59"/>
    <x v="230"/>
    <x v="1"/>
    <x v="0"/>
    <x v="3"/>
    <x v="5"/>
  </r>
  <r>
    <x v="442"/>
    <s v="Rohit Das"/>
    <x v="5"/>
    <s v="Asthma"/>
    <n v="8875"/>
    <n v="0"/>
    <x v="1"/>
    <x v="263"/>
    <x v="2"/>
    <x v="0"/>
    <x v="3"/>
    <x v="2"/>
    <x v="6"/>
  </r>
  <r>
    <x v="443"/>
    <s v="Priya Sharma"/>
    <x v="0"/>
    <s v="Covid"/>
    <n v="15018"/>
    <n v="0"/>
    <x v="1"/>
    <x v="155"/>
    <x v="2"/>
    <x v="1"/>
    <x v="1"/>
    <x v="2"/>
    <x v="7"/>
  </r>
  <r>
    <x v="444"/>
    <s v="Kavya Nair"/>
    <x v="3"/>
    <s v="Infection"/>
    <n v="48100"/>
    <n v="47496"/>
    <x v="0"/>
    <x v="15"/>
    <x v="34"/>
    <x v="1"/>
    <x v="4"/>
    <x v="5"/>
    <x v="9"/>
  </r>
  <r>
    <x v="445"/>
    <s v="Arjun Singh"/>
    <x v="2"/>
    <s v="Cardiac Issue"/>
    <n v="2179"/>
    <n v="804"/>
    <x v="0"/>
    <x v="220"/>
    <x v="195"/>
    <x v="1"/>
    <x v="4"/>
    <x v="3"/>
    <x v="0"/>
  </r>
  <r>
    <x v="446"/>
    <s v="Priya Sharma"/>
    <x v="0"/>
    <s v="Diabetes"/>
    <n v="18770"/>
    <n v="17835"/>
    <x v="0"/>
    <x v="150"/>
    <x v="129"/>
    <x v="1"/>
    <x v="4"/>
    <x v="10"/>
    <x v="2"/>
  </r>
  <r>
    <x v="447"/>
    <s v="Priya Sharma"/>
    <x v="5"/>
    <s v="Fever"/>
    <n v="21042"/>
    <n v="19401"/>
    <x v="0"/>
    <x v="134"/>
    <x v="231"/>
    <x v="1"/>
    <x v="5"/>
    <x v="6"/>
    <x v="8"/>
  </r>
  <r>
    <x v="448"/>
    <s v="Priya Sharma"/>
    <x v="0"/>
    <s v="Fever"/>
    <n v="2633"/>
    <n v="1275"/>
    <x v="0"/>
    <x v="264"/>
    <x v="51"/>
    <x v="1"/>
    <x v="3"/>
    <x v="7"/>
    <x v="6"/>
  </r>
  <r>
    <x v="449"/>
    <s v="Arjun Singh"/>
    <x v="2"/>
    <s v="Diabetes"/>
    <n v="26420"/>
    <n v="26046"/>
    <x v="0"/>
    <x v="13"/>
    <x v="103"/>
    <x v="1"/>
    <x v="2"/>
    <x v="9"/>
    <x v="0"/>
  </r>
  <r>
    <x v="450"/>
    <s v="Sneha Iyer"/>
    <x v="1"/>
    <s v="Covid"/>
    <n v="29639"/>
    <n v="29408"/>
    <x v="0"/>
    <x v="93"/>
    <x v="40"/>
    <x v="0"/>
    <x v="4"/>
    <x v="5"/>
    <x v="9"/>
  </r>
  <r>
    <x v="451"/>
    <s v="Meena Gupta"/>
    <x v="4"/>
    <s v="Covid"/>
    <n v="13879"/>
    <n v="0"/>
    <x v="1"/>
    <x v="62"/>
    <x v="2"/>
    <x v="1"/>
    <x v="0"/>
    <x v="2"/>
    <x v="11"/>
  </r>
  <r>
    <x v="452"/>
    <s v="Ravi Kumar"/>
    <x v="5"/>
    <s v="Covid"/>
    <n v="33989"/>
    <n v="32172"/>
    <x v="0"/>
    <x v="250"/>
    <x v="168"/>
    <x v="0"/>
    <x v="4"/>
    <x v="4"/>
    <x v="11"/>
  </r>
  <r>
    <x v="453"/>
    <s v="Sneha Iyer"/>
    <x v="2"/>
    <s v="Fever"/>
    <n v="48174"/>
    <n v="0"/>
    <x v="1"/>
    <x v="80"/>
    <x v="2"/>
    <x v="0"/>
    <x v="5"/>
    <x v="2"/>
    <x v="10"/>
  </r>
  <r>
    <x v="454"/>
    <s v="Rahul Verma"/>
    <x v="0"/>
    <s v="Asthma"/>
    <n v="45366"/>
    <n v="44380"/>
    <x v="0"/>
    <x v="185"/>
    <x v="232"/>
    <x v="0"/>
    <x v="1"/>
    <x v="9"/>
    <x v="3"/>
  </r>
  <r>
    <x v="455"/>
    <s v="Kavya Nair"/>
    <x v="0"/>
    <s v="Fever"/>
    <n v="44165"/>
    <n v="43130"/>
    <x v="0"/>
    <x v="126"/>
    <x v="108"/>
    <x v="0"/>
    <x v="4"/>
    <x v="4"/>
    <x v="5"/>
  </r>
  <r>
    <x v="456"/>
    <s v="Arjun Singh"/>
    <x v="2"/>
    <s v="Cardiac Issue"/>
    <n v="23685"/>
    <n v="23582"/>
    <x v="0"/>
    <x v="119"/>
    <x v="233"/>
    <x v="1"/>
    <x v="2"/>
    <x v="8"/>
    <x v="1"/>
  </r>
  <r>
    <x v="457"/>
    <s v="Kiran Patel"/>
    <x v="0"/>
    <s v="Covid"/>
    <n v="31110"/>
    <n v="0"/>
    <x v="1"/>
    <x v="265"/>
    <x v="2"/>
    <x v="0"/>
    <x v="1"/>
    <x v="2"/>
    <x v="5"/>
  </r>
  <r>
    <x v="458"/>
    <s v="Arjun Singh"/>
    <x v="4"/>
    <s v="Infection"/>
    <n v="9779"/>
    <n v="8253"/>
    <x v="0"/>
    <x v="246"/>
    <x v="234"/>
    <x v="0"/>
    <x v="2"/>
    <x v="5"/>
    <x v="6"/>
  </r>
  <r>
    <x v="459"/>
    <s v="Meena Gupta"/>
    <x v="0"/>
    <s v="Fever"/>
    <n v="7956"/>
    <n v="0"/>
    <x v="1"/>
    <x v="263"/>
    <x v="2"/>
    <x v="1"/>
    <x v="0"/>
    <x v="2"/>
    <x v="6"/>
  </r>
  <r>
    <x v="460"/>
    <s v="Kavya Nair"/>
    <x v="3"/>
    <s v="Covid"/>
    <n v="24338"/>
    <n v="22648"/>
    <x v="0"/>
    <x v="258"/>
    <x v="235"/>
    <x v="1"/>
    <x v="3"/>
    <x v="8"/>
    <x v="4"/>
  </r>
  <r>
    <x v="461"/>
    <s v="Kavya Nair"/>
    <x v="4"/>
    <s v="Infection"/>
    <n v="48918"/>
    <n v="48685"/>
    <x v="0"/>
    <x v="107"/>
    <x v="86"/>
    <x v="0"/>
    <x v="3"/>
    <x v="8"/>
    <x v="0"/>
  </r>
  <r>
    <x v="462"/>
    <s v="Rahul Verma"/>
    <x v="2"/>
    <s v="Infection"/>
    <n v="48012"/>
    <n v="47919"/>
    <x v="0"/>
    <x v="266"/>
    <x v="236"/>
    <x v="0"/>
    <x v="1"/>
    <x v="4"/>
    <x v="9"/>
  </r>
  <r>
    <x v="463"/>
    <s v="Meena Gupta"/>
    <x v="0"/>
    <s v="Migraine"/>
    <n v="42032"/>
    <n v="41648"/>
    <x v="0"/>
    <x v="267"/>
    <x v="40"/>
    <x v="0"/>
    <x v="2"/>
    <x v="9"/>
    <x v="9"/>
  </r>
  <r>
    <x v="464"/>
    <s v="Kiran Patel"/>
    <x v="2"/>
    <s v="Diabetes"/>
    <n v="29162"/>
    <n v="27265"/>
    <x v="0"/>
    <x v="99"/>
    <x v="51"/>
    <x v="0"/>
    <x v="1"/>
    <x v="1"/>
    <x v="6"/>
  </r>
  <r>
    <x v="465"/>
    <s v="Arjun Singh"/>
    <x v="4"/>
    <s v="Fracture"/>
    <n v="34691"/>
    <n v="33605"/>
    <x v="0"/>
    <x v="262"/>
    <x v="140"/>
    <x v="1"/>
    <x v="1"/>
    <x v="0"/>
    <x v="4"/>
  </r>
  <r>
    <x v="466"/>
    <s v="Rohit Das"/>
    <x v="4"/>
    <s v="Fracture"/>
    <n v="47338"/>
    <n v="0"/>
    <x v="1"/>
    <x v="253"/>
    <x v="2"/>
    <x v="0"/>
    <x v="4"/>
    <x v="2"/>
    <x v="9"/>
  </r>
  <r>
    <x v="467"/>
    <s v="Meena Gupta"/>
    <x v="2"/>
    <s v="Asthma"/>
    <n v="29437"/>
    <n v="0"/>
    <x v="1"/>
    <x v="98"/>
    <x v="2"/>
    <x v="0"/>
    <x v="3"/>
    <x v="2"/>
    <x v="8"/>
  </r>
  <r>
    <x v="468"/>
    <s v="Meena Gupta"/>
    <x v="2"/>
    <s v="Migraine"/>
    <n v="31677"/>
    <n v="31395"/>
    <x v="0"/>
    <x v="191"/>
    <x v="237"/>
    <x v="1"/>
    <x v="1"/>
    <x v="1"/>
    <x v="11"/>
  </r>
  <r>
    <x v="469"/>
    <s v="Kavya Nair"/>
    <x v="2"/>
    <s v="Cardiac Issue"/>
    <n v="15165"/>
    <n v="13887"/>
    <x v="0"/>
    <x v="170"/>
    <x v="238"/>
    <x v="1"/>
    <x v="5"/>
    <x v="10"/>
    <x v="8"/>
  </r>
  <r>
    <x v="470"/>
    <s v="Anil Reddy"/>
    <x v="5"/>
    <s v="Infection"/>
    <n v="48553"/>
    <n v="46995"/>
    <x v="0"/>
    <x v="143"/>
    <x v="79"/>
    <x v="1"/>
    <x v="0"/>
    <x v="0"/>
    <x v="3"/>
  </r>
  <r>
    <x v="471"/>
    <s v="Rohit Das"/>
    <x v="1"/>
    <s v="Migraine"/>
    <n v="29681"/>
    <n v="28611"/>
    <x v="0"/>
    <x v="54"/>
    <x v="106"/>
    <x v="1"/>
    <x v="4"/>
    <x v="5"/>
    <x v="0"/>
  </r>
  <r>
    <x v="472"/>
    <s v="Ravi Kumar"/>
    <x v="0"/>
    <s v="Cardiac Issue"/>
    <n v="19496"/>
    <n v="18910"/>
    <x v="0"/>
    <x v="268"/>
    <x v="220"/>
    <x v="0"/>
    <x v="1"/>
    <x v="10"/>
    <x v="8"/>
  </r>
  <r>
    <x v="473"/>
    <s v="Ravi Kumar"/>
    <x v="2"/>
    <s v="Cardiac Issue"/>
    <n v="37466"/>
    <n v="36732"/>
    <x v="0"/>
    <x v="234"/>
    <x v="100"/>
    <x v="0"/>
    <x v="5"/>
    <x v="3"/>
    <x v="5"/>
  </r>
  <r>
    <x v="474"/>
    <s v="Kavya Nair"/>
    <x v="1"/>
    <s v="Cardiac Issue"/>
    <n v="35483"/>
    <n v="34064"/>
    <x v="0"/>
    <x v="118"/>
    <x v="127"/>
    <x v="1"/>
    <x v="2"/>
    <x v="5"/>
    <x v="8"/>
  </r>
  <r>
    <x v="475"/>
    <s v="Meena Gupta"/>
    <x v="2"/>
    <s v="Fever"/>
    <n v="2849"/>
    <n v="2434"/>
    <x v="0"/>
    <x v="269"/>
    <x v="239"/>
    <x v="0"/>
    <x v="5"/>
    <x v="4"/>
    <x v="6"/>
  </r>
  <r>
    <x v="476"/>
    <s v="Rahul Verma"/>
    <x v="3"/>
    <s v="Cardiac Issue"/>
    <n v="21279"/>
    <n v="20916"/>
    <x v="0"/>
    <x v="268"/>
    <x v="152"/>
    <x v="0"/>
    <x v="4"/>
    <x v="3"/>
    <x v="8"/>
  </r>
  <r>
    <x v="477"/>
    <s v="Kavya Nair"/>
    <x v="0"/>
    <s v="Asthma"/>
    <n v="4663"/>
    <n v="4092"/>
    <x v="0"/>
    <x v="73"/>
    <x v="141"/>
    <x v="0"/>
    <x v="4"/>
    <x v="10"/>
    <x v="10"/>
  </r>
  <r>
    <x v="478"/>
    <s v="Rohit Das"/>
    <x v="2"/>
    <s v="Fever"/>
    <n v="23663"/>
    <n v="22210"/>
    <x v="0"/>
    <x v="270"/>
    <x v="171"/>
    <x v="0"/>
    <x v="3"/>
    <x v="5"/>
    <x v="9"/>
  </r>
  <r>
    <x v="479"/>
    <s v="Rohit Das"/>
    <x v="0"/>
    <s v="Migraine"/>
    <n v="34148"/>
    <n v="0"/>
    <x v="1"/>
    <x v="168"/>
    <x v="2"/>
    <x v="1"/>
    <x v="4"/>
    <x v="2"/>
    <x v="10"/>
  </r>
  <r>
    <x v="480"/>
    <s v="Rahul Verma"/>
    <x v="3"/>
    <s v="Fracture"/>
    <n v="36118"/>
    <n v="34508"/>
    <x v="0"/>
    <x v="1"/>
    <x v="240"/>
    <x v="1"/>
    <x v="0"/>
    <x v="7"/>
    <x v="1"/>
  </r>
  <r>
    <x v="481"/>
    <s v="Kavya Nair"/>
    <x v="1"/>
    <s v="Diabetes"/>
    <n v="24898"/>
    <n v="23089"/>
    <x v="0"/>
    <x v="58"/>
    <x v="122"/>
    <x v="1"/>
    <x v="3"/>
    <x v="6"/>
    <x v="7"/>
  </r>
  <r>
    <x v="482"/>
    <s v="Sneha Iyer"/>
    <x v="3"/>
    <s v="Covid"/>
    <n v="38787"/>
    <n v="38553"/>
    <x v="0"/>
    <x v="65"/>
    <x v="26"/>
    <x v="1"/>
    <x v="4"/>
    <x v="6"/>
    <x v="8"/>
  </r>
  <r>
    <x v="483"/>
    <s v="Rohit Das"/>
    <x v="3"/>
    <s v="Fever"/>
    <n v="46731"/>
    <n v="45950"/>
    <x v="0"/>
    <x v="13"/>
    <x v="103"/>
    <x v="1"/>
    <x v="0"/>
    <x v="9"/>
    <x v="0"/>
  </r>
  <r>
    <x v="484"/>
    <s v="Sneha Iyer"/>
    <x v="0"/>
    <s v="Infection"/>
    <n v="35705"/>
    <n v="0"/>
    <x v="1"/>
    <x v="271"/>
    <x v="2"/>
    <x v="1"/>
    <x v="4"/>
    <x v="2"/>
    <x v="5"/>
  </r>
  <r>
    <x v="485"/>
    <s v="Sneha Iyer"/>
    <x v="3"/>
    <s v="Infection"/>
    <n v="35678"/>
    <n v="33737"/>
    <x v="0"/>
    <x v="107"/>
    <x v="181"/>
    <x v="0"/>
    <x v="5"/>
    <x v="7"/>
    <x v="0"/>
  </r>
  <r>
    <x v="486"/>
    <s v="Priya Sharma"/>
    <x v="3"/>
    <s v="Cardiac Issue"/>
    <n v="46918"/>
    <n v="45207"/>
    <x v="0"/>
    <x v="272"/>
    <x v="213"/>
    <x v="1"/>
    <x v="5"/>
    <x v="8"/>
    <x v="0"/>
  </r>
  <r>
    <x v="487"/>
    <s v="Priya Sharma"/>
    <x v="5"/>
    <s v="Fever"/>
    <n v="32095"/>
    <n v="32018"/>
    <x v="0"/>
    <x v="238"/>
    <x v="241"/>
    <x v="0"/>
    <x v="4"/>
    <x v="3"/>
    <x v="0"/>
  </r>
  <r>
    <x v="488"/>
    <s v="Sneha Iyer"/>
    <x v="0"/>
    <s v="Cardiac Issue"/>
    <n v="18950"/>
    <n v="18156"/>
    <x v="0"/>
    <x v="70"/>
    <x v="242"/>
    <x v="1"/>
    <x v="3"/>
    <x v="9"/>
    <x v="5"/>
  </r>
  <r>
    <x v="489"/>
    <s v="Ravi Kumar"/>
    <x v="1"/>
    <s v="Diabetes"/>
    <n v="37050"/>
    <n v="35737"/>
    <x v="0"/>
    <x v="263"/>
    <x v="243"/>
    <x v="0"/>
    <x v="5"/>
    <x v="3"/>
    <x v="6"/>
  </r>
  <r>
    <x v="490"/>
    <s v="Priya Sharma"/>
    <x v="2"/>
    <s v="Diabetes"/>
    <n v="20994"/>
    <n v="19752"/>
    <x v="0"/>
    <x v="238"/>
    <x v="50"/>
    <x v="1"/>
    <x v="2"/>
    <x v="10"/>
    <x v="0"/>
  </r>
  <r>
    <x v="491"/>
    <s v="Meena Gupta"/>
    <x v="0"/>
    <s v="Covid"/>
    <n v="12244"/>
    <n v="0"/>
    <x v="1"/>
    <x v="8"/>
    <x v="2"/>
    <x v="0"/>
    <x v="5"/>
    <x v="2"/>
    <x v="7"/>
  </r>
  <r>
    <x v="492"/>
    <s v="Meena Gupta"/>
    <x v="2"/>
    <s v="Fracture"/>
    <n v="21533"/>
    <n v="19573"/>
    <x v="0"/>
    <x v="226"/>
    <x v="81"/>
    <x v="0"/>
    <x v="4"/>
    <x v="0"/>
    <x v="4"/>
  </r>
  <r>
    <x v="493"/>
    <s v="Ravi Kumar"/>
    <x v="0"/>
    <s v="Asthma"/>
    <n v="37202"/>
    <n v="0"/>
    <x v="1"/>
    <x v="203"/>
    <x v="2"/>
    <x v="1"/>
    <x v="4"/>
    <x v="2"/>
    <x v="0"/>
  </r>
  <r>
    <x v="494"/>
    <s v="Rahul Verma"/>
    <x v="3"/>
    <s v="Asthma"/>
    <n v="44331"/>
    <n v="0"/>
    <x v="1"/>
    <x v="273"/>
    <x v="2"/>
    <x v="0"/>
    <x v="4"/>
    <x v="2"/>
    <x v="9"/>
  </r>
  <r>
    <x v="495"/>
    <s v="Kiran Patel"/>
    <x v="2"/>
    <s v="Cardiac Issue"/>
    <n v="9511"/>
    <n v="8137"/>
    <x v="0"/>
    <x v="274"/>
    <x v="149"/>
    <x v="1"/>
    <x v="5"/>
    <x v="5"/>
    <x v="10"/>
  </r>
  <r>
    <x v="496"/>
    <s v="Kavya Nair"/>
    <x v="0"/>
    <s v="Migraine"/>
    <n v="46019"/>
    <n v="45506"/>
    <x v="0"/>
    <x v="218"/>
    <x v="244"/>
    <x v="1"/>
    <x v="3"/>
    <x v="8"/>
    <x v="0"/>
  </r>
  <r>
    <x v="497"/>
    <s v="Rahul Verma"/>
    <x v="5"/>
    <s v="Cardiac Issue"/>
    <n v="8556"/>
    <n v="7288"/>
    <x v="0"/>
    <x v="5"/>
    <x v="225"/>
    <x v="1"/>
    <x v="2"/>
    <x v="8"/>
    <x v="0"/>
  </r>
  <r>
    <x v="498"/>
    <s v="Arjun Singh"/>
    <x v="2"/>
    <s v="Migraine"/>
    <n v="47446"/>
    <n v="0"/>
    <x v="1"/>
    <x v="116"/>
    <x v="2"/>
    <x v="1"/>
    <x v="1"/>
    <x v="2"/>
    <x v="9"/>
  </r>
  <r>
    <x v="499"/>
    <s v="Rahul Verma"/>
    <x v="1"/>
    <s v="Fracture"/>
    <n v="2316"/>
    <n v="1812"/>
    <x v="0"/>
    <x v="208"/>
    <x v="245"/>
    <x v="1"/>
    <x v="1"/>
    <x v="9"/>
    <x v="7"/>
  </r>
  <r>
    <x v="500"/>
    <s v="Rahul Verma"/>
    <x v="5"/>
    <s v="Infection"/>
    <n v="33454"/>
    <n v="32542"/>
    <x v="0"/>
    <x v="40"/>
    <x v="192"/>
    <x v="1"/>
    <x v="0"/>
    <x v="10"/>
    <x v="11"/>
  </r>
  <r>
    <x v="501"/>
    <s v="Priya Sharma"/>
    <x v="5"/>
    <s v="Diabetes"/>
    <n v="20390"/>
    <n v="18565"/>
    <x v="0"/>
    <x v="69"/>
    <x v="18"/>
    <x v="1"/>
    <x v="5"/>
    <x v="8"/>
    <x v="10"/>
  </r>
  <r>
    <x v="502"/>
    <s v="Priya Sharma"/>
    <x v="0"/>
    <s v="Fever"/>
    <n v="35238"/>
    <n v="33574"/>
    <x v="0"/>
    <x v="44"/>
    <x v="191"/>
    <x v="1"/>
    <x v="1"/>
    <x v="1"/>
    <x v="10"/>
  </r>
  <r>
    <x v="503"/>
    <s v="Rohit Das"/>
    <x v="3"/>
    <s v="Fever"/>
    <n v="38149"/>
    <n v="37036"/>
    <x v="0"/>
    <x v="21"/>
    <x v="246"/>
    <x v="0"/>
    <x v="3"/>
    <x v="4"/>
    <x v="10"/>
  </r>
  <r>
    <x v="504"/>
    <s v="Meena Gupta"/>
    <x v="3"/>
    <s v="Migraine"/>
    <n v="10774"/>
    <n v="9748"/>
    <x v="0"/>
    <x v="255"/>
    <x v="233"/>
    <x v="1"/>
    <x v="3"/>
    <x v="3"/>
    <x v="1"/>
  </r>
  <r>
    <x v="505"/>
    <s v="Kavya Nair"/>
    <x v="0"/>
    <s v="Cardiac Issue"/>
    <n v="42241"/>
    <n v="40691"/>
    <x v="0"/>
    <x v="275"/>
    <x v="247"/>
    <x v="1"/>
    <x v="4"/>
    <x v="7"/>
    <x v="1"/>
  </r>
  <r>
    <x v="506"/>
    <s v="Anil Reddy"/>
    <x v="5"/>
    <s v="Covid"/>
    <n v="25514"/>
    <n v="25066"/>
    <x v="0"/>
    <x v="276"/>
    <x v="248"/>
    <x v="0"/>
    <x v="3"/>
    <x v="8"/>
    <x v="1"/>
  </r>
  <r>
    <x v="507"/>
    <s v="Rahul Verma"/>
    <x v="3"/>
    <s v="Fever"/>
    <n v="45816"/>
    <n v="44756"/>
    <x v="0"/>
    <x v="77"/>
    <x v="177"/>
    <x v="1"/>
    <x v="2"/>
    <x v="9"/>
    <x v="11"/>
  </r>
  <r>
    <x v="508"/>
    <s v="Ravi Kumar"/>
    <x v="0"/>
    <s v="Infection"/>
    <n v="8764"/>
    <n v="0"/>
    <x v="1"/>
    <x v="99"/>
    <x v="2"/>
    <x v="1"/>
    <x v="1"/>
    <x v="2"/>
    <x v="6"/>
  </r>
  <r>
    <x v="509"/>
    <s v="Sneha Iyer"/>
    <x v="5"/>
    <s v="Asthma"/>
    <n v="44839"/>
    <n v="44091"/>
    <x v="0"/>
    <x v="277"/>
    <x v="37"/>
    <x v="1"/>
    <x v="2"/>
    <x v="3"/>
    <x v="10"/>
  </r>
  <r>
    <x v="510"/>
    <s v="Kiran Patel"/>
    <x v="1"/>
    <s v="Infection"/>
    <n v="24612"/>
    <n v="22989"/>
    <x v="0"/>
    <x v="278"/>
    <x v="205"/>
    <x v="0"/>
    <x v="0"/>
    <x v="1"/>
    <x v="1"/>
  </r>
  <r>
    <x v="511"/>
    <s v="Anil Reddy"/>
    <x v="4"/>
    <s v="Fracture"/>
    <n v="17072"/>
    <n v="16019"/>
    <x v="0"/>
    <x v="279"/>
    <x v="51"/>
    <x v="0"/>
    <x v="4"/>
    <x v="10"/>
    <x v="6"/>
  </r>
  <r>
    <x v="512"/>
    <s v="Anil Reddy"/>
    <x v="5"/>
    <s v="Infection"/>
    <n v="41454"/>
    <n v="40101"/>
    <x v="0"/>
    <x v="280"/>
    <x v="33"/>
    <x v="1"/>
    <x v="5"/>
    <x v="9"/>
    <x v="7"/>
  </r>
  <r>
    <x v="513"/>
    <s v="Priya Sharma"/>
    <x v="4"/>
    <s v="Covid"/>
    <n v="33393"/>
    <n v="32184"/>
    <x v="0"/>
    <x v="15"/>
    <x v="249"/>
    <x v="0"/>
    <x v="4"/>
    <x v="9"/>
    <x v="9"/>
  </r>
  <r>
    <x v="514"/>
    <s v="Ravi Kumar"/>
    <x v="5"/>
    <s v="Fracture"/>
    <n v="10829"/>
    <n v="0"/>
    <x v="1"/>
    <x v="281"/>
    <x v="2"/>
    <x v="0"/>
    <x v="4"/>
    <x v="2"/>
    <x v="4"/>
  </r>
  <r>
    <x v="515"/>
    <s v="Anil Reddy"/>
    <x v="2"/>
    <s v="Fracture"/>
    <n v="35858"/>
    <n v="34631"/>
    <x v="0"/>
    <x v="61"/>
    <x v="141"/>
    <x v="1"/>
    <x v="4"/>
    <x v="5"/>
    <x v="10"/>
  </r>
  <r>
    <x v="516"/>
    <s v="Kiran Patel"/>
    <x v="4"/>
    <s v="Covid"/>
    <n v="33566"/>
    <n v="33117"/>
    <x v="0"/>
    <x v="250"/>
    <x v="250"/>
    <x v="0"/>
    <x v="1"/>
    <x v="1"/>
    <x v="11"/>
  </r>
  <r>
    <x v="517"/>
    <s v="Rohit Das"/>
    <x v="5"/>
    <s v="Migraine"/>
    <n v="12991"/>
    <n v="11103"/>
    <x v="0"/>
    <x v="6"/>
    <x v="85"/>
    <x v="0"/>
    <x v="4"/>
    <x v="1"/>
    <x v="5"/>
  </r>
  <r>
    <x v="518"/>
    <s v="Meena Gupta"/>
    <x v="1"/>
    <s v="Fracture"/>
    <n v="9115"/>
    <n v="8701"/>
    <x v="0"/>
    <x v="282"/>
    <x v="251"/>
    <x v="1"/>
    <x v="1"/>
    <x v="0"/>
    <x v="1"/>
  </r>
  <r>
    <x v="519"/>
    <s v="Anil Reddy"/>
    <x v="0"/>
    <s v="Fracture"/>
    <n v="33186"/>
    <n v="0"/>
    <x v="1"/>
    <x v="283"/>
    <x v="2"/>
    <x v="0"/>
    <x v="1"/>
    <x v="2"/>
    <x v="6"/>
  </r>
  <r>
    <x v="520"/>
    <s v="Kavya Nair"/>
    <x v="0"/>
    <s v="Diabetes"/>
    <n v="33604"/>
    <n v="31757"/>
    <x v="0"/>
    <x v="192"/>
    <x v="111"/>
    <x v="0"/>
    <x v="1"/>
    <x v="0"/>
    <x v="6"/>
  </r>
  <r>
    <x v="521"/>
    <s v="Meena Gupta"/>
    <x v="1"/>
    <s v="Infection"/>
    <n v="4846"/>
    <n v="0"/>
    <x v="1"/>
    <x v="67"/>
    <x v="2"/>
    <x v="0"/>
    <x v="1"/>
    <x v="2"/>
    <x v="5"/>
  </r>
  <r>
    <x v="522"/>
    <s v="Arjun Singh"/>
    <x v="1"/>
    <s v="Infection"/>
    <n v="40603"/>
    <n v="0"/>
    <x v="1"/>
    <x v="218"/>
    <x v="2"/>
    <x v="1"/>
    <x v="4"/>
    <x v="2"/>
    <x v="0"/>
  </r>
  <r>
    <x v="523"/>
    <s v="Sneha Iyer"/>
    <x v="4"/>
    <s v="Cardiac Issue"/>
    <n v="7493"/>
    <n v="6268"/>
    <x v="0"/>
    <x v="284"/>
    <x v="125"/>
    <x v="1"/>
    <x v="4"/>
    <x v="9"/>
    <x v="10"/>
  </r>
  <r>
    <x v="524"/>
    <s v="Ravi Kumar"/>
    <x v="0"/>
    <s v="Diabetes"/>
    <n v="36063"/>
    <n v="35295"/>
    <x v="0"/>
    <x v="148"/>
    <x v="252"/>
    <x v="1"/>
    <x v="2"/>
    <x v="8"/>
    <x v="8"/>
  </r>
  <r>
    <x v="525"/>
    <s v="Rahul Verma"/>
    <x v="0"/>
    <s v="Fracture"/>
    <n v="29923"/>
    <n v="0"/>
    <x v="1"/>
    <x v="285"/>
    <x v="2"/>
    <x v="1"/>
    <x v="1"/>
    <x v="2"/>
    <x v="2"/>
  </r>
  <r>
    <x v="526"/>
    <s v="Kavya Nair"/>
    <x v="1"/>
    <s v="Infection"/>
    <n v="42100"/>
    <n v="40707"/>
    <x v="0"/>
    <x v="110"/>
    <x v="186"/>
    <x v="1"/>
    <x v="0"/>
    <x v="8"/>
    <x v="11"/>
  </r>
  <r>
    <x v="527"/>
    <s v="Kavya Nair"/>
    <x v="4"/>
    <s v="Fracture"/>
    <n v="26262"/>
    <n v="0"/>
    <x v="1"/>
    <x v="73"/>
    <x v="2"/>
    <x v="1"/>
    <x v="3"/>
    <x v="2"/>
    <x v="10"/>
  </r>
  <r>
    <x v="528"/>
    <s v="Sneha Iyer"/>
    <x v="2"/>
    <s v="Asthma"/>
    <n v="11048"/>
    <n v="9517"/>
    <x v="0"/>
    <x v="280"/>
    <x v="253"/>
    <x v="0"/>
    <x v="4"/>
    <x v="4"/>
    <x v="7"/>
  </r>
  <r>
    <x v="529"/>
    <s v="Kiran Patel"/>
    <x v="1"/>
    <s v="Infection"/>
    <n v="38082"/>
    <n v="0"/>
    <x v="1"/>
    <x v="27"/>
    <x v="2"/>
    <x v="0"/>
    <x v="4"/>
    <x v="2"/>
    <x v="8"/>
  </r>
  <r>
    <x v="530"/>
    <s v="Meena Gupta"/>
    <x v="0"/>
    <s v="Diabetes"/>
    <n v="11524"/>
    <n v="9628"/>
    <x v="0"/>
    <x v="283"/>
    <x v="254"/>
    <x v="0"/>
    <x v="4"/>
    <x v="9"/>
    <x v="6"/>
  </r>
  <r>
    <x v="531"/>
    <s v="Sneha Iyer"/>
    <x v="3"/>
    <s v="Infection"/>
    <n v="7245"/>
    <n v="0"/>
    <x v="1"/>
    <x v="286"/>
    <x v="2"/>
    <x v="1"/>
    <x v="2"/>
    <x v="2"/>
    <x v="4"/>
  </r>
  <r>
    <x v="532"/>
    <s v="Rohit Das"/>
    <x v="2"/>
    <s v="Fever"/>
    <n v="13486"/>
    <n v="12587"/>
    <x v="0"/>
    <x v="226"/>
    <x v="255"/>
    <x v="1"/>
    <x v="4"/>
    <x v="8"/>
    <x v="4"/>
  </r>
  <r>
    <x v="533"/>
    <s v="Ravi Kumar"/>
    <x v="3"/>
    <s v="Fracture"/>
    <n v="46172"/>
    <n v="45436"/>
    <x v="0"/>
    <x v="94"/>
    <x v="256"/>
    <x v="0"/>
    <x v="4"/>
    <x v="5"/>
    <x v="2"/>
  </r>
  <r>
    <x v="534"/>
    <s v="Sneha Iyer"/>
    <x v="1"/>
    <s v="Infection"/>
    <n v="45886"/>
    <n v="45056"/>
    <x v="0"/>
    <x v="277"/>
    <x v="257"/>
    <x v="0"/>
    <x v="5"/>
    <x v="8"/>
    <x v="10"/>
  </r>
  <r>
    <x v="535"/>
    <s v="Priya Sharma"/>
    <x v="0"/>
    <s v="Migraine"/>
    <n v="49588"/>
    <n v="0"/>
    <x v="1"/>
    <x v="249"/>
    <x v="2"/>
    <x v="1"/>
    <x v="3"/>
    <x v="2"/>
    <x v="10"/>
  </r>
  <r>
    <x v="536"/>
    <s v="Sneha Iyer"/>
    <x v="3"/>
    <s v="Cardiac Issue"/>
    <n v="31803"/>
    <n v="30626"/>
    <x v="0"/>
    <x v="210"/>
    <x v="258"/>
    <x v="0"/>
    <x v="2"/>
    <x v="10"/>
    <x v="4"/>
  </r>
  <r>
    <x v="537"/>
    <s v="Kavya Nair"/>
    <x v="0"/>
    <s v="Diabetes"/>
    <n v="34975"/>
    <n v="34279"/>
    <x v="0"/>
    <x v="287"/>
    <x v="40"/>
    <x v="1"/>
    <x v="0"/>
    <x v="0"/>
    <x v="0"/>
  </r>
  <r>
    <x v="538"/>
    <s v="Rohit Das"/>
    <x v="2"/>
    <s v="Covid"/>
    <n v="26712"/>
    <n v="0"/>
    <x v="1"/>
    <x v="95"/>
    <x v="2"/>
    <x v="0"/>
    <x v="1"/>
    <x v="2"/>
    <x v="1"/>
  </r>
  <r>
    <x v="539"/>
    <s v="Rahul Verma"/>
    <x v="4"/>
    <s v="Covid"/>
    <n v="40458"/>
    <n v="39471"/>
    <x v="0"/>
    <x v="287"/>
    <x v="189"/>
    <x v="0"/>
    <x v="2"/>
    <x v="10"/>
    <x v="0"/>
  </r>
  <r>
    <x v="540"/>
    <s v="Kiran Patel"/>
    <x v="3"/>
    <s v="Infection"/>
    <n v="29028"/>
    <n v="27971"/>
    <x v="0"/>
    <x v="232"/>
    <x v="39"/>
    <x v="1"/>
    <x v="4"/>
    <x v="5"/>
    <x v="10"/>
  </r>
  <r>
    <x v="541"/>
    <s v="Sneha Iyer"/>
    <x v="0"/>
    <s v="Asthma"/>
    <n v="46151"/>
    <n v="45996"/>
    <x v="0"/>
    <x v="19"/>
    <x v="145"/>
    <x v="1"/>
    <x v="3"/>
    <x v="7"/>
    <x v="10"/>
  </r>
  <r>
    <x v="542"/>
    <s v="Rahul Verma"/>
    <x v="3"/>
    <s v="Migraine"/>
    <n v="13978"/>
    <n v="12957"/>
    <x v="0"/>
    <x v="155"/>
    <x v="259"/>
    <x v="0"/>
    <x v="1"/>
    <x v="8"/>
    <x v="7"/>
  </r>
  <r>
    <x v="543"/>
    <s v="Sneha Iyer"/>
    <x v="3"/>
    <s v="Cardiac Issue"/>
    <n v="15288"/>
    <n v="13576"/>
    <x v="0"/>
    <x v="263"/>
    <x v="260"/>
    <x v="0"/>
    <x v="1"/>
    <x v="6"/>
    <x v="6"/>
  </r>
  <r>
    <x v="544"/>
    <s v="Priya Sharma"/>
    <x v="0"/>
    <s v="Diabetes"/>
    <n v="46290"/>
    <n v="45033"/>
    <x v="0"/>
    <x v="194"/>
    <x v="261"/>
    <x v="0"/>
    <x v="1"/>
    <x v="0"/>
    <x v="4"/>
  </r>
  <r>
    <x v="545"/>
    <s v="Arjun Singh"/>
    <x v="2"/>
    <s v="Infection"/>
    <n v="34266"/>
    <n v="0"/>
    <x v="1"/>
    <x v="160"/>
    <x v="2"/>
    <x v="1"/>
    <x v="4"/>
    <x v="2"/>
    <x v="2"/>
  </r>
  <r>
    <x v="546"/>
    <s v="Kavya Nair"/>
    <x v="2"/>
    <s v="Asthma"/>
    <n v="16555"/>
    <n v="0"/>
    <x v="1"/>
    <x v="48"/>
    <x v="2"/>
    <x v="0"/>
    <x v="0"/>
    <x v="2"/>
    <x v="9"/>
  </r>
  <r>
    <x v="547"/>
    <s v="Meena Gupta"/>
    <x v="4"/>
    <s v="Fever"/>
    <n v="34930"/>
    <n v="34124"/>
    <x v="0"/>
    <x v="233"/>
    <x v="220"/>
    <x v="1"/>
    <x v="4"/>
    <x v="7"/>
    <x v="8"/>
  </r>
  <r>
    <x v="548"/>
    <s v="Kavya Nair"/>
    <x v="4"/>
    <s v="Infection"/>
    <n v="47168"/>
    <n v="47144"/>
    <x v="0"/>
    <x v="50"/>
    <x v="42"/>
    <x v="1"/>
    <x v="0"/>
    <x v="8"/>
    <x v="8"/>
  </r>
  <r>
    <x v="549"/>
    <s v="Priya Sharma"/>
    <x v="2"/>
    <s v="Infection"/>
    <n v="42159"/>
    <n v="41776"/>
    <x v="0"/>
    <x v="288"/>
    <x v="125"/>
    <x v="0"/>
    <x v="3"/>
    <x v="10"/>
    <x v="10"/>
  </r>
  <r>
    <x v="550"/>
    <s v="Arjun Singh"/>
    <x v="2"/>
    <s v="Infection"/>
    <n v="14052"/>
    <n v="13184"/>
    <x v="0"/>
    <x v="260"/>
    <x v="262"/>
    <x v="1"/>
    <x v="3"/>
    <x v="9"/>
    <x v="7"/>
  </r>
  <r>
    <x v="551"/>
    <s v="Meena Gupta"/>
    <x v="2"/>
    <s v="Covid"/>
    <n v="13789"/>
    <n v="0"/>
    <x v="1"/>
    <x v="93"/>
    <x v="2"/>
    <x v="0"/>
    <x v="1"/>
    <x v="2"/>
    <x v="9"/>
  </r>
  <r>
    <x v="552"/>
    <s v="Priya Sharma"/>
    <x v="2"/>
    <s v="Cardiac Issue"/>
    <n v="38394"/>
    <n v="36641"/>
    <x v="0"/>
    <x v="102"/>
    <x v="119"/>
    <x v="0"/>
    <x v="1"/>
    <x v="8"/>
    <x v="11"/>
  </r>
  <r>
    <x v="553"/>
    <s v="Anil Reddy"/>
    <x v="4"/>
    <s v="Fever"/>
    <n v="13574"/>
    <n v="12551"/>
    <x v="0"/>
    <x v="182"/>
    <x v="91"/>
    <x v="1"/>
    <x v="1"/>
    <x v="0"/>
    <x v="9"/>
  </r>
  <r>
    <x v="554"/>
    <s v="Arjun Singh"/>
    <x v="2"/>
    <s v="Migraine"/>
    <n v="38840"/>
    <n v="0"/>
    <x v="1"/>
    <x v="262"/>
    <x v="2"/>
    <x v="1"/>
    <x v="4"/>
    <x v="2"/>
    <x v="4"/>
  </r>
  <r>
    <x v="555"/>
    <s v="Anil Reddy"/>
    <x v="0"/>
    <s v="Cardiac Issue"/>
    <n v="18665"/>
    <n v="16947"/>
    <x v="0"/>
    <x v="289"/>
    <x v="263"/>
    <x v="1"/>
    <x v="5"/>
    <x v="3"/>
    <x v="6"/>
  </r>
  <r>
    <x v="556"/>
    <s v="Rahul Verma"/>
    <x v="2"/>
    <s v="Infection"/>
    <n v="25613"/>
    <n v="0"/>
    <x v="1"/>
    <x v="130"/>
    <x v="2"/>
    <x v="1"/>
    <x v="3"/>
    <x v="2"/>
    <x v="10"/>
  </r>
  <r>
    <x v="557"/>
    <s v="Ravi Kumar"/>
    <x v="1"/>
    <s v="Diabetes"/>
    <n v="25009"/>
    <n v="0"/>
    <x v="1"/>
    <x v="66"/>
    <x v="2"/>
    <x v="0"/>
    <x v="1"/>
    <x v="2"/>
    <x v="7"/>
  </r>
  <r>
    <x v="558"/>
    <s v="Sneha Iyer"/>
    <x v="2"/>
    <s v="Infection"/>
    <n v="46118"/>
    <n v="0"/>
    <x v="1"/>
    <x v="276"/>
    <x v="2"/>
    <x v="1"/>
    <x v="4"/>
    <x v="2"/>
    <x v="1"/>
  </r>
  <r>
    <x v="559"/>
    <s v="Meena Gupta"/>
    <x v="2"/>
    <s v="Covid"/>
    <n v="43399"/>
    <n v="41621"/>
    <x v="0"/>
    <x v="228"/>
    <x v="13"/>
    <x v="1"/>
    <x v="5"/>
    <x v="6"/>
    <x v="9"/>
  </r>
  <r>
    <x v="560"/>
    <s v="Rohit Das"/>
    <x v="1"/>
    <s v="Diabetes"/>
    <n v="7184"/>
    <n v="6481"/>
    <x v="0"/>
    <x v="251"/>
    <x v="188"/>
    <x v="1"/>
    <x v="5"/>
    <x v="6"/>
    <x v="7"/>
  </r>
  <r>
    <x v="561"/>
    <s v="Sneha Iyer"/>
    <x v="2"/>
    <s v="Asthma"/>
    <n v="19776"/>
    <n v="18177"/>
    <x v="0"/>
    <x v="92"/>
    <x v="71"/>
    <x v="1"/>
    <x v="2"/>
    <x v="1"/>
    <x v="11"/>
  </r>
  <r>
    <x v="562"/>
    <s v="Anil Reddy"/>
    <x v="5"/>
    <s v="Fever"/>
    <n v="10194"/>
    <n v="8839"/>
    <x v="0"/>
    <x v="87"/>
    <x v="264"/>
    <x v="0"/>
    <x v="4"/>
    <x v="3"/>
    <x v="2"/>
  </r>
  <r>
    <x v="563"/>
    <s v="Meena Gupta"/>
    <x v="0"/>
    <s v="Diabetes"/>
    <n v="6180"/>
    <n v="5057"/>
    <x v="0"/>
    <x v="258"/>
    <x v="29"/>
    <x v="1"/>
    <x v="0"/>
    <x v="5"/>
    <x v="4"/>
  </r>
  <r>
    <x v="564"/>
    <s v="Priya Sharma"/>
    <x v="0"/>
    <s v="Migraine"/>
    <n v="42507"/>
    <n v="42335"/>
    <x v="0"/>
    <x v="148"/>
    <x v="75"/>
    <x v="1"/>
    <x v="4"/>
    <x v="9"/>
    <x v="8"/>
  </r>
  <r>
    <x v="565"/>
    <s v="Kiran Patel"/>
    <x v="2"/>
    <s v="Covid"/>
    <n v="43057"/>
    <n v="42789"/>
    <x v="0"/>
    <x v="144"/>
    <x v="16"/>
    <x v="0"/>
    <x v="4"/>
    <x v="7"/>
    <x v="1"/>
  </r>
  <r>
    <x v="566"/>
    <s v="Rahul Verma"/>
    <x v="2"/>
    <s v="Covid"/>
    <n v="32617"/>
    <n v="0"/>
    <x v="1"/>
    <x v="290"/>
    <x v="2"/>
    <x v="1"/>
    <x v="4"/>
    <x v="2"/>
    <x v="2"/>
  </r>
  <r>
    <x v="567"/>
    <s v="Kavya Nair"/>
    <x v="5"/>
    <s v="Covid"/>
    <n v="43356"/>
    <n v="0"/>
    <x v="1"/>
    <x v="291"/>
    <x v="2"/>
    <x v="1"/>
    <x v="3"/>
    <x v="2"/>
    <x v="5"/>
  </r>
  <r>
    <x v="568"/>
    <s v="Arjun Singh"/>
    <x v="3"/>
    <s v="Diabetes"/>
    <n v="30957"/>
    <n v="30208"/>
    <x v="0"/>
    <x v="191"/>
    <x v="265"/>
    <x v="0"/>
    <x v="3"/>
    <x v="10"/>
    <x v="11"/>
  </r>
  <r>
    <x v="569"/>
    <s v="Ravi Kumar"/>
    <x v="0"/>
    <s v="Fracture"/>
    <n v="24536"/>
    <n v="23576"/>
    <x v="0"/>
    <x v="257"/>
    <x v="24"/>
    <x v="1"/>
    <x v="1"/>
    <x v="5"/>
    <x v="1"/>
  </r>
  <r>
    <x v="570"/>
    <s v="Arjun Singh"/>
    <x v="2"/>
    <s v="Fever"/>
    <n v="30209"/>
    <n v="28987"/>
    <x v="0"/>
    <x v="292"/>
    <x v="101"/>
    <x v="1"/>
    <x v="4"/>
    <x v="5"/>
    <x v="7"/>
  </r>
  <r>
    <x v="571"/>
    <s v="Meena Gupta"/>
    <x v="1"/>
    <s v="Asthma"/>
    <n v="18377"/>
    <n v="16913"/>
    <x v="0"/>
    <x v="129"/>
    <x v="216"/>
    <x v="1"/>
    <x v="4"/>
    <x v="9"/>
    <x v="6"/>
  </r>
  <r>
    <x v="572"/>
    <s v="Sneha Iyer"/>
    <x v="0"/>
    <s v="Asthma"/>
    <n v="42981"/>
    <n v="41923"/>
    <x v="0"/>
    <x v="243"/>
    <x v="243"/>
    <x v="1"/>
    <x v="5"/>
    <x v="10"/>
    <x v="6"/>
  </r>
  <r>
    <x v="573"/>
    <s v="Kavya Nair"/>
    <x v="2"/>
    <s v="Asthma"/>
    <n v="14320"/>
    <n v="13947"/>
    <x v="0"/>
    <x v="184"/>
    <x v="266"/>
    <x v="0"/>
    <x v="5"/>
    <x v="10"/>
    <x v="9"/>
  </r>
  <r>
    <x v="574"/>
    <s v="Arjun Singh"/>
    <x v="4"/>
    <s v="Migraine"/>
    <n v="47906"/>
    <n v="0"/>
    <x v="1"/>
    <x v="293"/>
    <x v="2"/>
    <x v="0"/>
    <x v="3"/>
    <x v="2"/>
    <x v="1"/>
  </r>
  <r>
    <x v="575"/>
    <s v="Ravi Kumar"/>
    <x v="5"/>
    <s v="Fever"/>
    <n v="37059"/>
    <n v="36679"/>
    <x v="0"/>
    <x v="0"/>
    <x v="213"/>
    <x v="1"/>
    <x v="4"/>
    <x v="10"/>
    <x v="0"/>
  </r>
  <r>
    <x v="576"/>
    <s v="Arjun Singh"/>
    <x v="0"/>
    <s v="Cardiac Issue"/>
    <n v="7911"/>
    <n v="7881"/>
    <x v="0"/>
    <x v="229"/>
    <x v="205"/>
    <x v="1"/>
    <x v="2"/>
    <x v="8"/>
    <x v="1"/>
  </r>
  <r>
    <x v="577"/>
    <s v="Sneha Iyer"/>
    <x v="4"/>
    <s v="Infection"/>
    <n v="32388"/>
    <n v="31712"/>
    <x v="0"/>
    <x v="63"/>
    <x v="15"/>
    <x v="0"/>
    <x v="3"/>
    <x v="7"/>
    <x v="0"/>
  </r>
  <r>
    <x v="578"/>
    <s v="Meena Gupta"/>
    <x v="0"/>
    <s v="Covid"/>
    <n v="13901"/>
    <n v="12067"/>
    <x v="0"/>
    <x v="87"/>
    <x v="9"/>
    <x v="0"/>
    <x v="4"/>
    <x v="9"/>
    <x v="2"/>
  </r>
  <r>
    <x v="579"/>
    <s v="Kiran Patel"/>
    <x v="1"/>
    <s v="Covid"/>
    <n v="18198"/>
    <n v="17791"/>
    <x v="0"/>
    <x v="294"/>
    <x v="242"/>
    <x v="0"/>
    <x v="2"/>
    <x v="3"/>
    <x v="5"/>
  </r>
  <r>
    <x v="580"/>
    <s v="Meena Gupta"/>
    <x v="2"/>
    <s v="Infection"/>
    <n v="12394"/>
    <n v="10869"/>
    <x v="0"/>
    <x v="168"/>
    <x v="160"/>
    <x v="0"/>
    <x v="3"/>
    <x v="0"/>
    <x v="10"/>
  </r>
  <r>
    <x v="581"/>
    <s v="Arjun Singh"/>
    <x v="2"/>
    <s v="Cardiac Issue"/>
    <n v="25620"/>
    <n v="23852"/>
    <x v="0"/>
    <x v="295"/>
    <x v="267"/>
    <x v="0"/>
    <x v="4"/>
    <x v="8"/>
    <x v="8"/>
  </r>
  <r>
    <x v="582"/>
    <s v="Meena Gupta"/>
    <x v="2"/>
    <s v="Fever"/>
    <n v="12968"/>
    <n v="11771"/>
    <x v="0"/>
    <x v="267"/>
    <x v="40"/>
    <x v="0"/>
    <x v="4"/>
    <x v="9"/>
    <x v="9"/>
  </r>
  <r>
    <x v="583"/>
    <s v="Ravi Kumar"/>
    <x v="4"/>
    <s v="Fracture"/>
    <n v="26339"/>
    <n v="25830"/>
    <x v="0"/>
    <x v="296"/>
    <x v="268"/>
    <x v="0"/>
    <x v="5"/>
    <x v="4"/>
    <x v="9"/>
  </r>
  <r>
    <x v="584"/>
    <s v="Rohit Das"/>
    <x v="2"/>
    <s v="Fever"/>
    <n v="5917"/>
    <n v="4597"/>
    <x v="0"/>
    <x v="116"/>
    <x v="215"/>
    <x v="0"/>
    <x v="4"/>
    <x v="0"/>
    <x v="9"/>
  </r>
  <r>
    <x v="585"/>
    <s v="Arjun Singh"/>
    <x v="3"/>
    <s v="Infection"/>
    <n v="38592"/>
    <n v="36943"/>
    <x v="0"/>
    <x v="187"/>
    <x v="166"/>
    <x v="0"/>
    <x v="5"/>
    <x v="8"/>
    <x v="5"/>
  </r>
  <r>
    <x v="586"/>
    <s v="Meena Gupta"/>
    <x v="2"/>
    <s v="Fracture"/>
    <n v="18429"/>
    <n v="17436"/>
    <x v="0"/>
    <x v="297"/>
    <x v="269"/>
    <x v="1"/>
    <x v="0"/>
    <x v="4"/>
    <x v="8"/>
  </r>
  <r>
    <x v="587"/>
    <s v="Arjun Singh"/>
    <x v="3"/>
    <s v="Fracture"/>
    <n v="37626"/>
    <n v="36964"/>
    <x v="0"/>
    <x v="178"/>
    <x v="109"/>
    <x v="0"/>
    <x v="4"/>
    <x v="10"/>
    <x v="5"/>
  </r>
  <r>
    <x v="588"/>
    <s v="Kavya Nair"/>
    <x v="5"/>
    <s v="Covid"/>
    <n v="21377"/>
    <n v="20268"/>
    <x v="0"/>
    <x v="169"/>
    <x v="71"/>
    <x v="0"/>
    <x v="1"/>
    <x v="4"/>
    <x v="11"/>
  </r>
  <r>
    <x v="589"/>
    <s v="Kavya Nair"/>
    <x v="1"/>
    <s v="Fracture"/>
    <n v="3226"/>
    <n v="0"/>
    <x v="1"/>
    <x v="298"/>
    <x v="2"/>
    <x v="0"/>
    <x v="3"/>
    <x v="2"/>
    <x v="11"/>
  </r>
  <r>
    <x v="590"/>
    <s v="Priya Sharma"/>
    <x v="1"/>
    <s v="Cardiac Issue"/>
    <n v="36345"/>
    <n v="34777"/>
    <x v="0"/>
    <x v="195"/>
    <x v="125"/>
    <x v="1"/>
    <x v="3"/>
    <x v="7"/>
    <x v="10"/>
  </r>
  <r>
    <x v="591"/>
    <s v="Meena Gupta"/>
    <x v="2"/>
    <s v="Diabetes"/>
    <n v="8308"/>
    <n v="0"/>
    <x v="1"/>
    <x v="299"/>
    <x v="2"/>
    <x v="0"/>
    <x v="4"/>
    <x v="2"/>
    <x v="8"/>
  </r>
  <r>
    <x v="592"/>
    <s v="Anil Reddy"/>
    <x v="5"/>
    <s v="Fever"/>
    <n v="15243"/>
    <n v="14249"/>
    <x v="0"/>
    <x v="197"/>
    <x v="270"/>
    <x v="0"/>
    <x v="0"/>
    <x v="3"/>
    <x v="7"/>
  </r>
  <r>
    <x v="593"/>
    <s v="Meena Gupta"/>
    <x v="4"/>
    <s v="Migraine"/>
    <n v="5216"/>
    <n v="4764"/>
    <x v="0"/>
    <x v="45"/>
    <x v="200"/>
    <x v="0"/>
    <x v="4"/>
    <x v="3"/>
    <x v="6"/>
  </r>
  <r>
    <x v="594"/>
    <s v="Arjun Singh"/>
    <x v="0"/>
    <s v="Covid"/>
    <n v="43872"/>
    <n v="43133"/>
    <x v="0"/>
    <x v="130"/>
    <x v="114"/>
    <x v="1"/>
    <x v="1"/>
    <x v="9"/>
    <x v="10"/>
  </r>
  <r>
    <x v="595"/>
    <s v="Ravi Kumar"/>
    <x v="2"/>
    <s v="Fever"/>
    <n v="6612"/>
    <n v="6453"/>
    <x v="0"/>
    <x v="76"/>
    <x v="101"/>
    <x v="0"/>
    <x v="4"/>
    <x v="0"/>
    <x v="7"/>
  </r>
  <r>
    <x v="596"/>
    <s v="Kiran Patel"/>
    <x v="1"/>
    <s v="Cardiac Issue"/>
    <n v="14656"/>
    <n v="0"/>
    <x v="1"/>
    <x v="300"/>
    <x v="2"/>
    <x v="0"/>
    <x v="0"/>
    <x v="2"/>
    <x v="8"/>
  </r>
  <r>
    <x v="597"/>
    <s v="Anil Reddy"/>
    <x v="1"/>
    <s v="Diabetes"/>
    <n v="43852"/>
    <n v="0"/>
    <x v="1"/>
    <x v="40"/>
    <x v="2"/>
    <x v="1"/>
    <x v="5"/>
    <x v="2"/>
    <x v="11"/>
  </r>
  <r>
    <x v="598"/>
    <s v="Meena Gupta"/>
    <x v="0"/>
    <s v="Fracture"/>
    <n v="13822"/>
    <n v="0"/>
    <x v="1"/>
    <x v="26"/>
    <x v="2"/>
    <x v="1"/>
    <x v="5"/>
    <x v="2"/>
    <x v="11"/>
  </r>
  <r>
    <x v="599"/>
    <s v="Anil Reddy"/>
    <x v="4"/>
    <s v="Infection"/>
    <n v="22653"/>
    <n v="0"/>
    <x v="1"/>
    <x v="71"/>
    <x v="2"/>
    <x v="1"/>
    <x v="2"/>
    <x v="2"/>
    <x v="3"/>
  </r>
  <r>
    <x v="600"/>
    <s v="Meena Gupta"/>
    <x v="2"/>
    <s v="Cardiac Issue"/>
    <n v="38906"/>
    <n v="0"/>
    <x v="1"/>
    <x v="58"/>
    <x v="2"/>
    <x v="1"/>
    <x v="1"/>
    <x v="2"/>
    <x v="7"/>
  </r>
  <r>
    <x v="601"/>
    <s v="Kavya Nair"/>
    <x v="2"/>
    <s v="Infection"/>
    <n v="31648"/>
    <n v="29683"/>
    <x v="0"/>
    <x v="110"/>
    <x v="271"/>
    <x v="0"/>
    <x v="3"/>
    <x v="5"/>
    <x v="11"/>
  </r>
  <r>
    <x v="602"/>
    <s v="Rohit Das"/>
    <x v="0"/>
    <s v="Fracture"/>
    <n v="21781"/>
    <n v="21166"/>
    <x v="0"/>
    <x v="208"/>
    <x v="221"/>
    <x v="1"/>
    <x v="4"/>
    <x v="8"/>
    <x v="7"/>
  </r>
  <r>
    <x v="603"/>
    <s v="Sneha Iyer"/>
    <x v="5"/>
    <s v="Diabetes"/>
    <n v="4473"/>
    <n v="3745"/>
    <x v="0"/>
    <x v="270"/>
    <x v="272"/>
    <x v="1"/>
    <x v="3"/>
    <x v="7"/>
    <x v="9"/>
  </r>
  <r>
    <x v="604"/>
    <s v="Rohit Das"/>
    <x v="3"/>
    <s v="Cardiac Issue"/>
    <n v="18793"/>
    <n v="18605"/>
    <x v="0"/>
    <x v="247"/>
    <x v="273"/>
    <x v="0"/>
    <x v="5"/>
    <x v="9"/>
    <x v="10"/>
  </r>
  <r>
    <x v="605"/>
    <s v="Priya Sharma"/>
    <x v="2"/>
    <s v="Covid"/>
    <n v="13331"/>
    <n v="11640"/>
    <x v="0"/>
    <x v="209"/>
    <x v="211"/>
    <x v="0"/>
    <x v="0"/>
    <x v="1"/>
    <x v="8"/>
  </r>
  <r>
    <x v="606"/>
    <s v="Sneha Iyer"/>
    <x v="0"/>
    <s v="Asthma"/>
    <n v="7143"/>
    <n v="5256"/>
    <x v="0"/>
    <x v="51"/>
    <x v="274"/>
    <x v="1"/>
    <x v="2"/>
    <x v="6"/>
    <x v="3"/>
  </r>
  <r>
    <x v="607"/>
    <s v="Priya Sharma"/>
    <x v="3"/>
    <s v="Fever"/>
    <n v="43542"/>
    <n v="43432"/>
    <x v="0"/>
    <x v="43"/>
    <x v="214"/>
    <x v="0"/>
    <x v="3"/>
    <x v="0"/>
    <x v="3"/>
  </r>
  <r>
    <x v="608"/>
    <s v="Kavya Nair"/>
    <x v="5"/>
    <s v="Infection"/>
    <n v="34925"/>
    <n v="34612"/>
    <x v="0"/>
    <x v="167"/>
    <x v="275"/>
    <x v="1"/>
    <x v="1"/>
    <x v="9"/>
    <x v="4"/>
  </r>
  <r>
    <x v="609"/>
    <s v="Rohit Das"/>
    <x v="0"/>
    <s v="Cardiac Issue"/>
    <n v="30307"/>
    <n v="28697"/>
    <x v="0"/>
    <x v="206"/>
    <x v="271"/>
    <x v="0"/>
    <x v="3"/>
    <x v="7"/>
    <x v="11"/>
  </r>
  <r>
    <x v="610"/>
    <s v="Priya Sharma"/>
    <x v="4"/>
    <s v="Fever"/>
    <n v="37923"/>
    <n v="37386"/>
    <x v="0"/>
    <x v="203"/>
    <x v="142"/>
    <x v="1"/>
    <x v="1"/>
    <x v="9"/>
    <x v="0"/>
  </r>
  <r>
    <x v="611"/>
    <s v="Anil Reddy"/>
    <x v="5"/>
    <s v="Covid"/>
    <n v="38654"/>
    <n v="37655"/>
    <x v="0"/>
    <x v="301"/>
    <x v="126"/>
    <x v="0"/>
    <x v="0"/>
    <x v="1"/>
    <x v="11"/>
  </r>
  <r>
    <x v="612"/>
    <s v="Rohit Das"/>
    <x v="3"/>
    <s v="Cardiac Issue"/>
    <n v="6695"/>
    <n v="5105"/>
    <x v="0"/>
    <x v="22"/>
    <x v="19"/>
    <x v="0"/>
    <x v="4"/>
    <x v="6"/>
    <x v="5"/>
  </r>
  <r>
    <x v="613"/>
    <s v="Meena Gupta"/>
    <x v="1"/>
    <s v="Infection"/>
    <n v="24826"/>
    <n v="24170"/>
    <x v="0"/>
    <x v="75"/>
    <x v="223"/>
    <x v="0"/>
    <x v="1"/>
    <x v="1"/>
    <x v="3"/>
  </r>
  <r>
    <x v="614"/>
    <s v="Sneha Iyer"/>
    <x v="5"/>
    <s v="Infection"/>
    <n v="42384"/>
    <n v="41108"/>
    <x v="0"/>
    <x v="112"/>
    <x v="272"/>
    <x v="0"/>
    <x v="1"/>
    <x v="4"/>
    <x v="9"/>
  </r>
  <r>
    <x v="615"/>
    <s v="Kiran Patel"/>
    <x v="3"/>
    <s v="Infection"/>
    <n v="12223"/>
    <n v="11993"/>
    <x v="0"/>
    <x v="258"/>
    <x v="235"/>
    <x v="0"/>
    <x v="1"/>
    <x v="8"/>
    <x v="4"/>
  </r>
  <r>
    <x v="616"/>
    <s v="Sneha Iyer"/>
    <x v="0"/>
    <s v="Infection"/>
    <n v="47468"/>
    <n v="46844"/>
    <x v="0"/>
    <x v="70"/>
    <x v="6"/>
    <x v="0"/>
    <x v="3"/>
    <x v="4"/>
    <x v="5"/>
  </r>
  <r>
    <x v="617"/>
    <s v="Kiran Patel"/>
    <x v="3"/>
    <s v="Cardiac Issue"/>
    <n v="37810"/>
    <n v="0"/>
    <x v="1"/>
    <x v="235"/>
    <x v="2"/>
    <x v="1"/>
    <x v="0"/>
    <x v="2"/>
    <x v="2"/>
  </r>
  <r>
    <x v="618"/>
    <s v="Anil Reddy"/>
    <x v="0"/>
    <s v="Asthma"/>
    <n v="40207"/>
    <n v="0"/>
    <x v="1"/>
    <x v="4"/>
    <x v="2"/>
    <x v="1"/>
    <x v="4"/>
    <x v="2"/>
    <x v="4"/>
  </r>
  <r>
    <x v="619"/>
    <s v="Ravi Kumar"/>
    <x v="2"/>
    <s v="Cardiac Issue"/>
    <n v="47647"/>
    <n v="0"/>
    <x v="1"/>
    <x v="302"/>
    <x v="2"/>
    <x v="0"/>
    <x v="2"/>
    <x v="2"/>
    <x v="2"/>
  </r>
  <r>
    <x v="620"/>
    <s v="Ravi Kumar"/>
    <x v="0"/>
    <s v="Asthma"/>
    <n v="45278"/>
    <n v="43921"/>
    <x v="0"/>
    <x v="299"/>
    <x v="184"/>
    <x v="0"/>
    <x v="4"/>
    <x v="6"/>
    <x v="8"/>
  </r>
  <r>
    <x v="621"/>
    <s v="Sneha Iyer"/>
    <x v="1"/>
    <s v="Cardiac Issue"/>
    <n v="26949"/>
    <n v="0"/>
    <x v="1"/>
    <x v="159"/>
    <x v="2"/>
    <x v="0"/>
    <x v="3"/>
    <x v="2"/>
    <x v="8"/>
  </r>
  <r>
    <x v="622"/>
    <s v="Arjun Singh"/>
    <x v="0"/>
    <s v="Fracture"/>
    <n v="15033"/>
    <n v="0"/>
    <x v="1"/>
    <x v="147"/>
    <x v="2"/>
    <x v="0"/>
    <x v="4"/>
    <x v="2"/>
    <x v="5"/>
  </r>
  <r>
    <x v="623"/>
    <s v="Kiran Patel"/>
    <x v="2"/>
    <s v="Infection"/>
    <n v="34108"/>
    <n v="32584"/>
    <x v="0"/>
    <x v="296"/>
    <x v="276"/>
    <x v="1"/>
    <x v="5"/>
    <x v="5"/>
    <x v="9"/>
  </r>
  <r>
    <x v="624"/>
    <s v="Rahul Verma"/>
    <x v="2"/>
    <s v="Migraine"/>
    <n v="17479"/>
    <n v="0"/>
    <x v="1"/>
    <x v="303"/>
    <x v="2"/>
    <x v="0"/>
    <x v="5"/>
    <x v="2"/>
    <x v="2"/>
  </r>
  <r>
    <x v="625"/>
    <s v="Sneha Iyer"/>
    <x v="1"/>
    <s v="Fever"/>
    <n v="38368"/>
    <n v="37907"/>
    <x v="0"/>
    <x v="304"/>
    <x v="34"/>
    <x v="1"/>
    <x v="5"/>
    <x v="6"/>
    <x v="9"/>
  </r>
  <r>
    <x v="626"/>
    <s v="Anil Reddy"/>
    <x v="0"/>
    <s v="Asthma"/>
    <n v="36125"/>
    <n v="0"/>
    <x v="1"/>
    <x v="305"/>
    <x v="2"/>
    <x v="0"/>
    <x v="2"/>
    <x v="2"/>
    <x v="6"/>
  </r>
  <r>
    <x v="627"/>
    <s v="Kiran Patel"/>
    <x v="5"/>
    <s v="Asthma"/>
    <n v="22472"/>
    <n v="0"/>
    <x v="1"/>
    <x v="306"/>
    <x v="2"/>
    <x v="1"/>
    <x v="0"/>
    <x v="2"/>
    <x v="3"/>
  </r>
  <r>
    <x v="628"/>
    <s v="Anil Reddy"/>
    <x v="3"/>
    <s v="Fracture"/>
    <n v="40078"/>
    <n v="0"/>
    <x v="1"/>
    <x v="307"/>
    <x v="2"/>
    <x v="0"/>
    <x v="1"/>
    <x v="2"/>
    <x v="8"/>
  </r>
  <r>
    <x v="629"/>
    <s v="Anil Reddy"/>
    <x v="2"/>
    <s v="Fracture"/>
    <n v="30184"/>
    <n v="28841"/>
    <x v="0"/>
    <x v="31"/>
    <x v="114"/>
    <x v="1"/>
    <x v="4"/>
    <x v="7"/>
    <x v="10"/>
  </r>
  <r>
    <x v="630"/>
    <s v="Kavya Nair"/>
    <x v="0"/>
    <s v="Fracture"/>
    <n v="22814"/>
    <n v="21325"/>
    <x v="0"/>
    <x v="237"/>
    <x v="277"/>
    <x v="1"/>
    <x v="2"/>
    <x v="6"/>
    <x v="4"/>
  </r>
  <r>
    <x v="631"/>
    <s v="Sneha Iyer"/>
    <x v="4"/>
    <s v="Migraine"/>
    <n v="11958"/>
    <n v="11740"/>
    <x v="0"/>
    <x v="93"/>
    <x v="44"/>
    <x v="0"/>
    <x v="1"/>
    <x v="7"/>
    <x v="9"/>
  </r>
  <r>
    <x v="632"/>
    <s v="Rohit Das"/>
    <x v="2"/>
    <s v="Cardiac Issue"/>
    <n v="41083"/>
    <n v="40611"/>
    <x v="0"/>
    <x v="233"/>
    <x v="231"/>
    <x v="1"/>
    <x v="4"/>
    <x v="5"/>
    <x v="8"/>
  </r>
  <r>
    <x v="633"/>
    <s v="Arjun Singh"/>
    <x v="5"/>
    <s v="Covid"/>
    <n v="48662"/>
    <n v="48286"/>
    <x v="0"/>
    <x v="222"/>
    <x v="22"/>
    <x v="1"/>
    <x v="4"/>
    <x v="4"/>
    <x v="11"/>
  </r>
  <r>
    <x v="634"/>
    <s v="Anil Reddy"/>
    <x v="3"/>
    <s v="Cardiac Issue"/>
    <n v="4112"/>
    <n v="2547"/>
    <x v="0"/>
    <x v="25"/>
    <x v="261"/>
    <x v="1"/>
    <x v="4"/>
    <x v="10"/>
    <x v="4"/>
  </r>
  <r>
    <x v="635"/>
    <s v="Kiran Patel"/>
    <x v="3"/>
    <s v="Diabetes"/>
    <n v="13604"/>
    <n v="11829"/>
    <x v="0"/>
    <x v="308"/>
    <x v="278"/>
    <x v="1"/>
    <x v="1"/>
    <x v="4"/>
    <x v="6"/>
  </r>
  <r>
    <x v="636"/>
    <s v="Arjun Singh"/>
    <x v="3"/>
    <s v="Asthma"/>
    <n v="28533"/>
    <n v="27288"/>
    <x v="0"/>
    <x v="62"/>
    <x v="49"/>
    <x v="1"/>
    <x v="0"/>
    <x v="6"/>
    <x v="11"/>
  </r>
  <r>
    <x v="637"/>
    <s v="Rohit Das"/>
    <x v="0"/>
    <s v="Diabetes"/>
    <n v="31596"/>
    <n v="29903"/>
    <x v="0"/>
    <x v="176"/>
    <x v="279"/>
    <x v="1"/>
    <x v="5"/>
    <x v="8"/>
    <x v="4"/>
  </r>
  <r>
    <x v="638"/>
    <s v="Ravi Kumar"/>
    <x v="1"/>
    <s v="Fever"/>
    <n v="14442"/>
    <n v="13542"/>
    <x v="0"/>
    <x v="110"/>
    <x v="89"/>
    <x v="1"/>
    <x v="2"/>
    <x v="10"/>
    <x v="11"/>
  </r>
  <r>
    <x v="639"/>
    <s v="Anil Reddy"/>
    <x v="1"/>
    <s v="Migraine"/>
    <n v="42182"/>
    <n v="40769"/>
    <x v="0"/>
    <x v="18"/>
    <x v="224"/>
    <x v="1"/>
    <x v="1"/>
    <x v="7"/>
    <x v="1"/>
  </r>
  <r>
    <x v="640"/>
    <s v="Arjun Singh"/>
    <x v="0"/>
    <s v="Diabetes"/>
    <n v="13781"/>
    <n v="0"/>
    <x v="1"/>
    <x v="27"/>
    <x v="2"/>
    <x v="0"/>
    <x v="2"/>
    <x v="2"/>
    <x v="8"/>
  </r>
  <r>
    <x v="641"/>
    <s v="Meena Gupta"/>
    <x v="2"/>
    <s v="Covid"/>
    <n v="3632"/>
    <n v="2703"/>
    <x v="0"/>
    <x v="309"/>
    <x v="280"/>
    <x v="1"/>
    <x v="4"/>
    <x v="8"/>
    <x v="10"/>
  </r>
  <r>
    <x v="642"/>
    <s v="Sneha Iyer"/>
    <x v="2"/>
    <s v="Fracture"/>
    <n v="49079"/>
    <n v="48893"/>
    <x v="0"/>
    <x v="13"/>
    <x v="72"/>
    <x v="1"/>
    <x v="4"/>
    <x v="4"/>
    <x v="0"/>
  </r>
  <r>
    <x v="643"/>
    <s v="Kavya Nair"/>
    <x v="1"/>
    <s v="Fracture"/>
    <n v="26817"/>
    <n v="0"/>
    <x v="1"/>
    <x v="62"/>
    <x v="2"/>
    <x v="0"/>
    <x v="1"/>
    <x v="2"/>
    <x v="11"/>
  </r>
  <r>
    <x v="644"/>
    <s v="Anil Reddy"/>
    <x v="2"/>
    <s v="Fracture"/>
    <n v="12624"/>
    <n v="12258"/>
    <x v="0"/>
    <x v="223"/>
    <x v="23"/>
    <x v="1"/>
    <x v="3"/>
    <x v="5"/>
    <x v="8"/>
  </r>
  <r>
    <x v="645"/>
    <s v="Sneha Iyer"/>
    <x v="4"/>
    <s v="Migraine"/>
    <n v="43055"/>
    <n v="42815"/>
    <x v="0"/>
    <x v="93"/>
    <x v="193"/>
    <x v="0"/>
    <x v="0"/>
    <x v="8"/>
    <x v="9"/>
  </r>
  <r>
    <x v="646"/>
    <s v="Sneha Iyer"/>
    <x v="0"/>
    <s v="Covid"/>
    <n v="34612"/>
    <n v="33499"/>
    <x v="0"/>
    <x v="210"/>
    <x v="261"/>
    <x v="1"/>
    <x v="4"/>
    <x v="1"/>
    <x v="4"/>
  </r>
  <r>
    <x v="647"/>
    <s v="Kiran Patel"/>
    <x v="4"/>
    <s v="Covid"/>
    <n v="28879"/>
    <n v="28717"/>
    <x v="0"/>
    <x v="283"/>
    <x v="111"/>
    <x v="0"/>
    <x v="4"/>
    <x v="1"/>
    <x v="6"/>
  </r>
  <r>
    <x v="648"/>
    <s v="Kavya Nair"/>
    <x v="2"/>
    <s v="Cardiac Issue"/>
    <n v="5205"/>
    <n v="4902"/>
    <x v="0"/>
    <x v="158"/>
    <x v="281"/>
    <x v="0"/>
    <x v="4"/>
    <x v="6"/>
    <x v="4"/>
  </r>
  <r>
    <x v="649"/>
    <s v="Ravi Kumar"/>
    <x v="2"/>
    <s v="Infection"/>
    <n v="7747"/>
    <n v="7524"/>
    <x v="0"/>
    <x v="81"/>
    <x v="265"/>
    <x v="0"/>
    <x v="5"/>
    <x v="7"/>
    <x v="5"/>
  </r>
  <r>
    <x v="650"/>
    <s v="Sneha Iyer"/>
    <x v="5"/>
    <s v="Covid"/>
    <n v="39943"/>
    <n v="38036"/>
    <x v="0"/>
    <x v="39"/>
    <x v="121"/>
    <x v="1"/>
    <x v="3"/>
    <x v="3"/>
    <x v="4"/>
  </r>
  <r>
    <x v="651"/>
    <s v="Rahul Verma"/>
    <x v="1"/>
    <s v="Diabetes"/>
    <n v="30005"/>
    <n v="0"/>
    <x v="1"/>
    <x v="9"/>
    <x v="2"/>
    <x v="1"/>
    <x v="2"/>
    <x v="2"/>
    <x v="0"/>
  </r>
  <r>
    <x v="652"/>
    <s v="Anil Reddy"/>
    <x v="0"/>
    <s v="Migraine"/>
    <n v="23575"/>
    <n v="0"/>
    <x v="1"/>
    <x v="191"/>
    <x v="2"/>
    <x v="0"/>
    <x v="5"/>
    <x v="2"/>
    <x v="11"/>
  </r>
  <r>
    <x v="653"/>
    <s v="Kiran Patel"/>
    <x v="0"/>
    <s v="Diabetes"/>
    <n v="39445"/>
    <n v="0"/>
    <x v="1"/>
    <x v="238"/>
    <x v="2"/>
    <x v="1"/>
    <x v="5"/>
    <x v="2"/>
    <x v="0"/>
  </r>
  <r>
    <x v="654"/>
    <s v="Rohit Das"/>
    <x v="2"/>
    <s v="Asthma"/>
    <n v="41901"/>
    <n v="41370"/>
    <x v="0"/>
    <x v="144"/>
    <x v="18"/>
    <x v="1"/>
    <x v="4"/>
    <x v="1"/>
    <x v="1"/>
  </r>
  <r>
    <x v="655"/>
    <s v="Rohit Das"/>
    <x v="4"/>
    <s v="Covid"/>
    <n v="34276"/>
    <n v="32467"/>
    <x v="0"/>
    <x v="100"/>
    <x v="282"/>
    <x v="1"/>
    <x v="4"/>
    <x v="8"/>
    <x v="6"/>
  </r>
  <r>
    <x v="656"/>
    <s v="Ravi Kumar"/>
    <x v="0"/>
    <s v="Fever"/>
    <n v="32466"/>
    <n v="30956"/>
    <x v="0"/>
    <x v="200"/>
    <x v="175"/>
    <x v="1"/>
    <x v="2"/>
    <x v="1"/>
    <x v="7"/>
  </r>
  <r>
    <x v="657"/>
    <s v="Ravi Kumar"/>
    <x v="2"/>
    <s v="Infection"/>
    <n v="38727"/>
    <n v="38704"/>
    <x v="0"/>
    <x v="180"/>
    <x v="283"/>
    <x v="1"/>
    <x v="3"/>
    <x v="8"/>
    <x v="6"/>
  </r>
  <r>
    <x v="658"/>
    <s v="Priya Sharma"/>
    <x v="2"/>
    <s v="Migraine"/>
    <n v="35206"/>
    <n v="0"/>
    <x v="1"/>
    <x v="310"/>
    <x v="2"/>
    <x v="0"/>
    <x v="4"/>
    <x v="2"/>
    <x v="3"/>
  </r>
  <r>
    <x v="659"/>
    <s v="Rahul Verma"/>
    <x v="2"/>
    <s v="Asthma"/>
    <n v="49474"/>
    <n v="0"/>
    <x v="1"/>
    <x v="308"/>
    <x v="2"/>
    <x v="0"/>
    <x v="1"/>
    <x v="2"/>
    <x v="6"/>
  </r>
  <r>
    <x v="660"/>
    <s v="Anil Reddy"/>
    <x v="3"/>
    <s v="Infection"/>
    <n v="24147"/>
    <n v="22271"/>
    <x v="0"/>
    <x v="190"/>
    <x v="284"/>
    <x v="0"/>
    <x v="2"/>
    <x v="5"/>
    <x v="5"/>
  </r>
  <r>
    <x v="661"/>
    <s v="Anil Reddy"/>
    <x v="4"/>
    <s v="Infection"/>
    <n v="32308"/>
    <n v="30408"/>
    <x v="0"/>
    <x v="158"/>
    <x v="8"/>
    <x v="1"/>
    <x v="0"/>
    <x v="0"/>
    <x v="4"/>
  </r>
  <r>
    <x v="662"/>
    <s v="Rahul Verma"/>
    <x v="0"/>
    <s v="Cardiac Issue"/>
    <n v="39840"/>
    <n v="38203"/>
    <x v="0"/>
    <x v="311"/>
    <x v="285"/>
    <x v="0"/>
    <x v="3"/>
    <x v="3"/>
    <x v="3"/>
  </r>
  <r>
    <x v="663"/>
    <s v="Ravi Kumar"/>
    <x v="2"/>
    <s v="Asthma"/>
    <n v="43059"/>
    <n v="0"/>
    <x v="1"/>
    <x v="266"/>
    <x v="2"/>
    <x v="1"/>
    <x v="4"/>
    <x v="2"/>
    <x v="9"/>
  </r>
  <r>
    <x v="664"/>
    <s v="Rohit Das"/>
    <x v="0"/>
    <s v="Migraine"/>
    <n v="48220"/>
    <n v="46767"/>
    <x v="0"/>
    <x v="213"/>
    <x v="277"/>
    <x v="1"/>
    <x v="4"/>
    <x v="10"/>
    <x v="4"/>
  </r>
  <r>
    <x v="665"/>
    <s v="Arjun Singh"/>
    <x v="3"/>
    <s v="Infection"/>
    <n v="31616"/>
    <n v="31174"/>
    <x v="0"/>
    <x v="189"/>
    <x v="206"/>
    <x v="0"/>
    <x v="4"/>
    <x v="10"/>
    <x v="1"/>
  </r>
  <r>
    <x v="666"/>
    <s v="Rahul Verma"/>
    <x v="0"/>
    <s v="Cardiac Issue"/>
    <n v="8068"/>
    <n v="7032"/>
    <x v="0"/>
    <x v="312"/>
    <x v="121"/>
    <x v="0"/>
    <x v="4"/>
    <x v="4"/>
    <x v="4"/>
  </r>
  <r>
    <x v="667"/>
    <s v="Rahul Verma"/>
    <x v="4"/>
    <s v="Migraine"/>
    <n v="23452"/>
    <n v="21877"/>
    <x v="0"/>
    <x v="218"/>
    <x v="286"/>
    <x v="0"/>
    <x v="4"/>
    <x v="0"/>
    <x v="0"/>
  </r>
  <r>
    <x v="668"/>
    <s v="Ravi Kumar"/>
    <x v="4"/>
    <s v="Asthma"/>
    <n v="48771"/>
    <n v="0"/>
    <x v="1"/>
    <x v="287"/>
    <x v="2"/>
    <x v="0"/>
    <x v="3"/>
    <x v="2"/>
    <x v="0"/>
  </r>
  <r>
    <x v="669"/>
    <s v="Ravi Kumar"/>
    <x v="0"/>
    <s v="Infection"/>
    <n v="32597"/>
    <n v="32386"/>
    <x v="0"/>
    <x v="46"/>
    <x v="287"/>
    <x v="0"/>
    <x v="0"/>
    <x v="10"/>
    <x v="1"/>
  </r>
  <r>
    <x v="670"/>
    <s v="Sneha Iyer"/>
    <x v="3"/>
    <s v="Infection"/>
    <n v="15143"/>
    <n v="14557"/>
    <x v="0"/>
    <x v="303"/>
    <x v="288"/>
    <x v="1"/>
    <x v="1"/>
    <x v="0"/>
    <x v="2"/>
  </r>
  <r>
    <x v="671"/>
    <s v="Arjun Singh"/>
    <x v="0"/>
    <s v="Migraine"/>
    <n v="11785"/>
    <n v="11225"/>
    <x v="0"/>
    <x v="13"/>
    <x v="286"/>
    <x v="0"/>
    <x v="4"/>
    <x v="5"/>
    <x v="0"/>
  </r>
  <r>
    <x v="672"/>
    <s v="Kavya Nair"/>
    <x v="2"/>
    <s v="Infection"/>
    <n v="19763"/>
    <n v="17832"/>
    <x v="0"/>
    <x v="123"/>
    <x v="23"/>
    <x v="0"/>
    <x v="4"/>
    <x v="10"/>
    <x v="8"/>
  </r>
  <r>
    <x v="673"/>
    <s v="Priya Sharma"/>
    <x v="2"/>
    <s v="Infection"/>
    <n v="37427"/>
    <n v="37324"/>
    <x v="0"/>
    <x v="117"/>
    <x v="11"/>
    <x v="1"/>
    <x v="5"/>
    <x v="5"/>
    <x v="9"/>
  </r>
  <r>
    <x v="674"/>
    <s v="Ravi Kumar"/>
    <x v="0"/>
    <s v="Asthma"/>
    <n v="5525"/>
    <n v="4652"/>
    <x v="0"/>
    <x v="313"/>
    <x v="289"/>
    <x v="1"/>
    <x v="0"/>
    <x v="7"/>
    <x v="11"/>
  </r>
  <r>
    <x v="675"/>
    <s v="Rahul Verma"/>
    <x v="2"/>
    <s v="Infection"/>
    <n v="14985"/>
    <n v="0"/>
    <x v="1"/>
    <x v="224"/>
    <x v="2"/>
    <x v="1"/>
    <x v="0"/>
    <x v="2"/>
    <x v="0"/>
  </r>
  <r>
    <x v="676"/>
    <s v="Anil Reddy"/>
    <x v="0"/>
    <s v="Covid"/>
    <n v="8374"/>
    <n v="7739"/>
    <x v="0"/>
    <x v="307"/>
    <x v="190"/>
    <x v="1"/>
    <x v="4"/>
    <x v="4"/>
    <x v="8"/>
  </r>
  <r>
    <x v="677"/>
    <s v="Kiran Patel"/>
    <x v="5"/>
    <s v="Migraine"/>
    <n v="25819"/>
    <n v="25444"/>
    <x v="0"/>
    <x v="183"/>
    <x v="199"/>
    <x v="1"/>
    <x v="2"/>
    <x v="6"/>
    <x v="8"/>
  </r>
  <r>
    <x v="678"/>
    <s v="Arjun Singh"/>
    <x v="0"/>
    <s v="Diabetes"/>
    <n v="33151"/>
    <n v="32432"/>
    <x v="0"/>
    <x v="156"/>
    <x v="248"/>
    <x v="0"/>
    <x v="3"/>
    <x v="4"/>
    <x v="1"/>
  </r>
  <r>
    <x v="679"/>
    <s v="Rahul Verma"/>
    <x v="5"/>
    <s v="Diabetes"/>
    <n v="28587"/>
    <n v="27920"/>
    <x v="0"/>
    <x v="73"/>
    <x v="145"/>
    <x v="1"/>
    <x v="0"/>
    <x v="3"/>
    <x v="10"/>
  </r>
  <r>
    <x v="680"/>
    <s v="Arjun Singh"/>
    <x v="1"/>
    <s v="Asthma"/>
    <n v="17635"/>
    <n v="0"/>
    <x v="1"/>
    <x v="314"/>
    <x v="2"/>
    <x v="0"/>
    <x v="2"/>
    <x v="2"/>
    <x v="2"/>
  </r>
  <r>
    <x v="681"/>
    <s v="Meena Gupta"/>
    <x v="0"/>
    <s v="Infection"/>
    <n v="15647"/>
    <n v="0"/>
    <x v="1"/>
    <x v="22"/>
    <x v="2"/>
    <x v="1"/>
    <x v="0"/>
    <x v="2"/>
    <x v="5"/>
  </r>
  <r>
    <x v="682"/>
    <s v="Rahul Verma"/>
    <x v="3"/>
    <s v="Fracture"/>
    <n v="45424"/>
    <n v="43910"/>
    <x v="0"/>
    <x v="223"/>
    <x v="290"/>
    <x v="1"/>
    <x v="4"/>
    <x v="1"/>
    <x v="8"/>
  </r>
  <r>
    <x v="683"/>
    <s v="Rohit Das"/>
    <x v="4"/>
    <s v="Infection"/>
    <n v="38378"/>
    <n v="36695"/>
    <x v="0"/>
    <x v="109"/>
    <x v="128"/>
    <x v="1"/>
    <x v="2"/>
    <x v="7"/>
    <x v="5"/>
  </r>
  <r>
    <x v="684"/>
    <s v="Priya Sharma"/>
    <x v="0"/>
    <s v="Asthma"/>
    <n v="23457"/>
    <n v="22137"/>
    <x v="0"/>
    <x v="83"/>
    <x v="252"/>
    <x v="0"/>
    <x v="4"/>
    <x v="5"/>
    <x v="8"/>
  </r>
  <r>
    <x v="685"/>
    <s v="Anil Reddy"/>
    <x v="0"/>
    <s v="Fracture"/>
    <n v="45311"/>
    <n v="44384"/>
    <x v="0"/>
    <x v="171"/>
    <x v="118"/>
    <x v="1"/>
    <x v="0"/>
    <x v="10"/>
    <x v="1"/>
  </r>
  <r>
    <x v="686"/>
    <s v="Rohit Das"/>
    <x v="4"/>
    <s v="Cardiac Issue"/>
    <n v="15478"/>
    <n v="14865"/>
    <x v="0"/>
    <x v="86"/>
    <x v="63"/>
    <x v="1"/>
    <x v="5"/>
    <x v="10"/>
    <x v="10"/>
  </r>
  <r>
    <x v="687"/>
    <s v="Rahul Verma"/>
    <x v="0"/>
    <s v="Fever"/>
    <n v="42074"/>
    <n v="0"/>
    <x v="1"/>
    <x v="91"/>
    <x v="2"/>
    <x v="0"/>
    <x v="1"/>
    <x v="2"/>
    <x v="11"/>
  </r>
  <r>
    <x v="688"/>
    <s v="Sneha Iyer"/>
    <x v="0"/>
    <s v="Infection"/>
    <n v="37971"/>
    <n v="37970"/>
    <x v="0"/>
    <x v="123"/>
    <x v="269"/>
    <x v="1"/>
    <x v="4"/>
    <x v="0"/>
    <x v="8"/>
  </r>
  <r>
    <x v="689"/>
    <s v="Sneha Iyer"/>
    <x v="0"/>
    <s v="Cardiac Issue"/>
    <n v="30292"/>
    <n v="0"/>
    <x v="1"/>
    <x v="206"/>
    <x v="2"/>
    <x v="1"/>
    <x v="5"/>
    <x v="2"/>
    <x v="11"/>
  </r>
  <r>
    <x v="690"/>
    <s v="Meena Gupta"/>
    <x v="1"/>
    <s v="Asthma"/>
    <n v="30520"/>
    <n v="0"/>
    <x v="1"/>
    <x v="315"/>
    <x v="2"/>
    <x v="0"/>
    <x v="2"/>
    <x v="2"/>
    <x v="7"/>
  </r>
  <r>
    <x v="691"/>
    <s v="Anil Reddy"/>
    <x v="3"/>
    <s v="Asthma"/>
    <n v="25611"/>
    <n v="25296"/>
    <x v="0"/>
    <x v="177"/>
    <x v="288"/>
    <x v="0"/>
    <x v="4"/>
    <x v="7"/>
    <x v="2"/>
  </r>
  <r>
    <x v="692"/>
    <s v="Priya Sharma"/>
    <x v="0"/>
    <s v="Fracture"/>
    <n v="49273"/>
    <n v="47926"/>
    <x v="0"/>
    <x v="316"/>
    <x v="19"/>
    <x v="0"/>
    <x v="4"/>
    <x v="7"/>
    <x v="5"/>
  </r>
  <r>
    <x v="693"/>
    <s v="Meena Gupta"/>
    <x v="4"/>
    <s v="Asthma"/>
    <n v="42845"/>
    <n v="41915"/>
    <x v="0"/>
    <x v="11"/>
    <x v="224"/>
    <x v="1"/>
    <x v="2"/>
    <x v="9"/>
    <x v="1"/>
  </r>
  <r>
    <x v="694"/>
    <s v="Rahul Verma"/>
    <x v="3"/>
    <s v="Fracture"/>
    <n v="29837"/>
    <n v="0"/>
    <x v="1"/>
    <x v="194"/>
    <x v="2"/>
    <x v="1"/>
    <x v="1"/>
    <x v="2"/>
    <x v="4"/>
  </r>
  <r>
    <x v="695"/>
    <s v="Kiran Patel"/>
    <x v="2"/>
    <s v="Asthma"/>
    <n v="37793"/>
    <n v="0"/>
    <x v="1"/>
    <x v="169"/>
    <x v="2"/>
    <x v="0"/>
    <x v="4"/>
    <x v="2"/>
    <x v="11"/>
  </r>
  <r>
    <x v="696"/>
    <s v="Rohit Das"/>
    <x v="4"/>
    <s v="Infection"/>
    <n v="9416"/>
    <n v="0"/>
    <x v="1"/>
    <x v="278"/>
    <x v="2"/>
    <x v="0"/>
    <x v="4"/>
    <x v="2"/>
    <x v="1"/>
  </r>
  <r>
    <x v="697"/>
    <s v="Kavya Nair"/>
    <x v="2"/>
    <s v="Covid"/>
    <n v="35878"/>
    <n v="34807"/>
    <x v="0"/>
    <x v="100"/>
    <x v="254"/>
    <x v="0"/>
    <x v="2"/>
    <x v="3"/>
    <x v="6"/>
  </r>
  <r>
    <x v="698"/>
    <s v="Priya Sharma"/>
    <x v="2"/>
    <s v="Fever"/>
    <n v="24514"/>
    <n v="0"/>
    <x v="1"/>
    <x v="226"/>
    <x v="2"/>
    <x v="1"/>
    <x v="2"/>
    <x v="2"/>
    <x v="4"/>
  </r>
  <r>
    <x v="699"/>
    <s v="Kavya Nair"/>
    <x v="4"/>
    <s v="Infection"/>
    <n v="29591"/>
    <n v="27624"/>
    <x v="0"/>
    <x v="317"/>
    <x v="291"/>
    <x v="0"/>
    <x v="4"/>
    <x v="10"/>
    <x v="2"/>
  </r>
  <r>
    <x v="700"/>
    <s v="Rohit Das"/>
    <x v="2"/>
    <s v="Migraine"/>
    <n v="6025"/>
    <n v="4841"/>
    <x v="0"/>
    <x v="261"/>
    <x v="154"/>
    <x v="0"/>
    <x v="5"/>
    <x v="1"/>
    <x v="9"/>
  </r>
  <r>
    <x v="701"/>
    <s v="Sneha Iyer"/>
    <x v="0"/>
    <s v="Migraine"/>
    <n v="33769"/>
    <n v="33510"/>
    <x v="0"/>
    <x v="1"/>
    <x v="292"/>
    <x v="1"/>
    <x v="3"/>
    <x v="3"/>
    <x v="1"/>
  </r>
  <r>
    <x v="702"/>
    <s v="Anil Reddy"/>
    <x v="2"/>
    <s v="Migraine"/>
    <n v="18839"/>
    <n v="17321"/>
    <x v="0"/>
    <x v="221"/>
    <x v="11"/>
    <x v="0"/>
    <x v="0"/>
    <x v="1"/>
    <x v="0"/>
  </r>
  <r>
    <x v="703"/>
    <s v="Anil Reddy"/>
    <x v="4"/>
    <s v="Infection"/>
    <n v="13494"/>
    <n v="11892"/>
    <x v="0"/>
    <x v="183"/>
    <x v="67"/>
    <x v="1"/>
    <x v="4"/>
    <x v="8"/>
    <x v="8"/>
  </r>
  <r>
    <x v="704"/>
    <s v="Kavya Nair"/>
    <x v="0"/>
    <s v="Infection"/>
    <n v="7531"/>
    <n v="6312"/>
    <x v="0"/>
    <x v="116"/>
    <x v="96"/>
    <x v="1"/>
    <x v="1"/>
    <x v="4"/>
    <x v="9"/>
  </r>
  <r>
    <x v="705"/>
    <s v="Meena Gupta"/>
    <x v="3"/>
    <s v="Covid"/>
    <n v="49579"/>
    <n v="49148"/>
    <x v="0"/>
    <x v="80"/>
    <x v="143"/>
    <x v="0"/>
    <x v="5"/>
    <x v="6"/>
    <x v="10"/>
  </r>
  <r>
    <x v="706"/>
    <s v="Sneha Iyer"/>
    <x v="0"/>
    <s v="Fever"/>
    <n v="12983"/>
    <n v="12167"/>
    <x v="0"/>
    <x v="199"/>
    <x v="108"/>
    <x v="1"/>
    <x v="5"/>
    <x v="10"/>
    <x v="5"/>
  </r>
  <r>
    <x v="707"/>
    <s v="Kavya Nair"/>
    <x v="3"/>
    <s v="Asthma"/>
    <n v="46794"/>
    <n v="45823"/>
    <x v="0"/>
    <x v="38"/>
    <x v="30"/>
    <x v="1"/>
    <x v="4"/>
    <x v="7"/>
    <x v="2"/>
  </r>
  <r>
    <x v="708"/>
    <s v="Sneha Iyer"/>
    <x v="4"/>
    <s v="Asthma"/>
    <n v="46465"/>
    <n v="44496"/>
    <x v="0"/>
    <x v="29"/>
    <x v="16"/>
    <x v="0"/>
    <x v="0"/>
    <x v="5"/>
    <x v="1"/>
  </r>
  <r>
    <x v="709"/>
    <s v="Rahul Verma"/>
    <x v="1"/>
    <s v="Migraine"/>
    <n v="23952"/>
    <n v="23406"/>
    <x v="0"/>
    <x v="218"/>
    <x v="106"/>
    <x v="1"/>
    <x v="2"/>
    <x v="10"/>
    <x v="0"/>
  </r>
  <r>
    <x v="710"/>
    <s v="Kiran Patel"/>
    <x v="3"/>
    <s v="Infection"/>
    <n v="46414"/>
    <n v="45773"/>
    <x v="0"/>
    <x v="288"/>
    <x v="226"/>
    <x v="0"/>
    <x v="1"/>
    <x v="5"/>
    <x v="10"/>
  </r>
  <r>
    <x v="711"/>
    <s v="Priya Sharma"/>
    <x v="0"/>
    <s v="Asthma"/>
    <n v="8402"/>
    <n v="0"/>
    <x v="1"/>
    <x v="272"/>
    <x v="2"/>
    <x v="1"/>
    <x v="3"/>
    <x v="2"/>
    <x v="0"/>
  </r>
  <r>
    <x v="712"/>
    <s v="Kiran Patel"/>
    <x v="2"/>
    <s v="Migraine"/>
    <n v="14653"/>
    <n v="14605"/>
    <x v="0"/>
    <x v="269"/>
    <x v="38"/>
    <x v="0"/>
    <x v="0"/>
    <x v="3"/>
    <x v="6"/>
  </r>
  <r>
    <x v="713"/>
    <s v="Kiran Patel"/>
    <x v="0"/>
    <s v="Diabetes"/>
    <n v="7661"/>
    <n v="0"/>
    <x v="1"/>
    <x v="117"/>
    <x v="2"/>
    <x v="1"/>
    <x v="5"/>
    <x v="2"/>
    <x v="9"/>
  </r>
  <r>
    <x v="714"/>
    <s v="Rohit Das"/>
    <x v="5"/>
    <s v="Diabetes"/>
    <n v="47590"/>
    <n v="47072"/>
    <x v="0"/>
    <x v="317"/>
    <x v="161"/>
    <x v="0"/>
    <x v="5"/>
    <x v="4"/>
    <x v="2"/>
  </r>
  <r>
    <x v="715"/>
    <s v="Arjun Singh"/>
    <x v="2"/>
    <s v="Asthma"/>
    <n v="47365"/>
    <n v="46838"/>
    <x v="0"/>
    <x v="15"/>
    <x v="293"/>
    <x v="1"/>
    <x v="1"/>
    <x v="3"/>
    <x v="9"/>
  </r>
  <r>
    <x v="716"/>
    <s v="Ravi Kumar"/>
    <x v="1"/>
    <s v="Asthma"/>
    <n v="23800"/>
    <n v="23272"/>
    <x v="0"/>
    <x v="105"/>
    <x v="294"/>
    <x v="1"/>
    <x v="4"/>
    <x v="7"/>
    <x v="2"/>
  </r>
  <r>
    <x v="717"/>
    <s v="Arjun Singh"/>
    <x v="3"/>
    <s v="Asthma"/>
    <n v="13694"/>
    <n v="13472"/>
    <x v="0"/>
    <x v="164"/>
    <x v="272"/>
    <x v="1"/>
    <x v="4"/>
    <x v="0"/>
    <x v="9"/>
  </r>
  <r>
    <x v="718"/>
    <s v="Rohit Das"/>
    <x v="0"/>
    <s v="Covid"/>
    <n v="48884"/>
    <n v="48673"/>
    <x v="0"/>
    <x v="245"/>
    <x v="295"/>
    <x v="0"/>
    <x v="0"/>
    <x v="3"/>
    <x v="4"/>
  </r>
  <r>
    <x v="719"/>
    <s v="Sneha Iyer"/>
    <x v="4"/>
    <s v="Fever"/>
    <n v="34617"/>
    <n v="33280"/>
    <x v="0"/>
    <x v="180"/>
    <x v="7"/>
    <x v="0"/>
    <x v="5"/>
    <x v="5"/>
    <x v="6"/>
  </r>
  <r>
    <x v="720"/>
    <s v="Meena Gupta"/>
    <x v="2"/>
    <s v="Fracture"/>
    <n v="47878"/>
    <n v="46026"/>
    <x v="0"/>
    <x v="313"/>
    <x v="296"/>
    <x v="0"/>
    <x v="0"/>
    <x v="1"/>
    <x v="11"/>
  </r>
  <r>
    <x v="721"/>
    <s v="Arjun Singh"/>
    <x v="4"/>
    <s v="Asthma"/>
    <n v="28470"/>
    <n v="27364"/>
    <x v="0"/>
    <x v="85"/>
    <x v="175"/>
    <x v="1"/>
    <x v="5"/>
    <x v="5"/>
    <x v="7"/>
  </r>
  <r>
    <x v="722"/>
    <s v="Arjun Singh"/>
    <x v="0"/>
    <s v="Infection"/>
    <n v="23852"/>
    <n v="23032"/>
    <x v="0"/>
    <x v="158"/>
    <x v="4"/>
    <x v="1"/>
    <x v="0"/>
    <x v="3"/>
    <x v="4"/>
  </r>
  <r>
    <x v="723"/>
    <s v="Rahul Verma"/>
    <x v="0"/>
    <s v="Covid"/>
    <n v="21002"/>
    <n v="20641"/>
    <x v="0"/>
    <x v="19"/>
    <x v="246"/>
    <x v="1"/>
    <x v="5"/>
    <x v="5"/>
    <x v="10"/>
  </r>
  <r>
    <x v="724"/>
    <s v="Kiran Patel"/>
    <x v="2"/>
    <s v="Asthma"/>
    <n v="8997"/>
    <n v="8001"/>
    <x v="0"/>
    <x v="203"/>
    <x v="297"/>
    <x v="0"/>
    <x v="4"/>
    <x v="4"/>
    <x v="0"/>
  </r>
  <r>
    <x v="725"/>
    <s v="Ravi Kumar"/>
    <x v="3"/>
    <s v="Fever"/>
    <n v="49168"/>
    <n v="0"/>
    <x v="1"/>
    <x v="94"/>
    <x v="2"/>
    <x v="1"/>
    <x v="2"/>
    <x v="2"/>
    <x v="2"/>
  </r>
  <r>
    <x v="726"/>
    <s v="Priya Sharma"/>
    <x v="2"/>
    <s v="Covid"/>
    <n v="36992"/>
    <n v="35013"/>
    <x v="0"/>
    <x v="145"/>
    <x v="255"/>
    <x v="1"/>
    <x v="4"/>
    <x v="5"/>
    <x v="4"/>
  </r>
  <r>
    <x v="727"/>
    <s v="Rahul Verma"/>
    <x v="0"/>
    <s v="Asthma"/>
    <n v="9745"/>
    <n v="8093"/>
    <x v="0"/>
    <x v="246"/>
    <x v="184"/>
    <x v="1"/>
    <x v="5"/>
    <x v="0"/>
    <x v="6"/>
  </r>
  <r>
    <x v="728"/>
    <s v="Kavya Nair"/>
    <x v="5"/>
    <s v="Cardiac Issue"/>
    <n v="6720"/>
    <n v="5214"/>
    <x v="0"/>
    <x v="273"/>
    <x v="171"/>
    <x v="0"/>
    <x v="2"/>
    <x v="4"/>
    <x v="9"/>
  </r>
  <r>
    <x v="729"/>
    <s v="Rohit Das"/>
    <x v="0"/>
    <s v="Cardiac Issue"/>
    <n v="47960"/>
    <n v="47931"/>
    <x v="0"/>
    <x v="253"/>
    <x v="249"/>
    <x v="1"/>
    <x v="1"/>
    <x v="5"/>
    <x v="9"/>
  </r>
  <r>
    <x v="730"/>
    <s v="Priya Sharma"/>
    <x v="4"/>
    <s v="Fracture"/>
    <n v="40734"/>
    <n v="39060"/>
    <x v="0"/>
    <x v="54"/>
    <x v="179"/>
    <x v="1"/>
    <x v="0"/>
    <x v="3"/>
    <x v="0"/>
  </r>
  <r>
    <x v="731"/>
    <s v="Rohit Das"/>
    <x v="3"/>
    <s v="Diabetes"/>
    <n v="15280"/>
    <n v="14590"/>
    <x v="0"/>
    <x v="151"/>
    <x v="220"/>
    <x v="1"/>
    <x v="4"/>
    <x v="9"/>
    <x v="8"/>
  </r>
  <r>
    <x v="732"/>
    <s v="Rohit Das"/>
    <x v="5"/>
    <s v="Infection"/>
    <n v="15974"/>
    <n v="14760"/>
    <x v="0"/>
    <x v="253"/>
    <x v="228"/>
    <x v="0"/>
    <x v="4"/>
    <x v="6"/>
    <x v="9"/>
  </r>
  <r>
    <x v="733"/>
    <s v="Sneha Iyer"/>
    <x v="5"/>
    <s v="Asthma"/>
    <n v="13013"/>
    <n v="11880"/>
    <x v="0"/>
    <x v="266"/>
    <x v="236"/>
    <x v="0"/>
    <x v="0"/>
    <x v="4"/>
    <x v="9"/>
  </r>
  <r>
    <x v="734"/>
    <s v="Ravi Kumar"/>
    <x v="5"/>
    <s v="Diabetes"/>
    <n v="43431"/>
    <n v="0"/>
    <x v="1"/>
    <x v="133"/>
    <x v="2"/>
    <x v="0"/>
    <x v="4"/>
    <x v="2"/>
    <x v="11"/>
  </r>
  <r>
    <x v="735"/>
    <s v="Arjun Singh"/>
    <x v="0"/>
    <s v="Fever"/>
    <n v="2473"/>
    <n v="577"/>
    <x v="0"/>
    <x v="220"/>
    <x v="106"/>
    <x v="1"/>
    <x v="2"/>
    <x v="1"/>
    <x v="0"/>
  </r>
  <r>
    <x v="736"/>
    <s v="Arjun Singh"/>
    <x v="5"/>
    <s v="Cardiac Issue"/>
    <n v="11377"/>
    <n v="10306"/>
    <x v="0"/>
    <x v="70"/>
    <x v="242"/>
    <x v="0"/>
    <x v="4"/>
    <x v="9"/>
    <x v="5"/>
  </r>
  <r>
    <x v="737"/>
    <s v="Rohit Das"/>
    <x v="0"/>
    <s v="Fracture"/>
    <n v="49002"/>
    <n v="47749"/>
    <x v="0"/>
    <x v="220"/>
    <x v="142"/>
    <x v="1"/>
    <x v="2"/>
    <x v="10"/>
    <x v="0"/>
  </r>
  <r>
    <x v="738"/>
    <s v="Ravi Kumar"/>
    <x v="3"/>
    <s v="Cardiac Issue"/>
    <n v="9700"/>
    <n v="0"/>
    <x v="1"/>
    <x v="219"/>
    <x v="2"/>
    <x v="1"/>
    <x v="1"/>
    <x v="2"/>
    <x v="0"/>
  </r>
  <r>
    <x v="739"/>
    <s v="Kavya Nair"/>
    <x v="3"/>
    <s v="Covid"/>
    <n v="43055"/>
    <n v="42489"/>
    <x v="0"/>
    <x v="258"/>
    <x v="235"/>
    <x v="0"/>
    <x v="1"/>
    <x v="8"/>
    <x v="4"/>
  </r>
  <r>
    <x v="740"/>
    <s v="Anil Reddy"/>
    <x v="4"/>
    <s v="Covid"/>
    <n v="13555"/>
    <n v="12183"/>
    <x v="0"/>
    <x v="4"/>
    <x v="298"/>
    <x v="1"/>
    <x v="3"/>
    <x v="5"/>
    <x v="4"/>
  </r>
  <r>
    <x v="741"/>
    <s v="Kiran Patel"/>
    <x v="1"/>
    <s v="Migraine"/>
    <n v="23908"/>
    <n v="0"/>
    <x v="1"/>
    <x v="6"/>
    <x v="2"/>
    <x v="0"/>
    <x v="4"/>
    <x v="2"/>
    <x v="5"/>
  </r>
  <r>
    <x v="742"/>
    <s v="Ravi Kumar"/>
    <x v="5"/>
    <s v="Fracture"/>
    <n v="3904"/>
    <n v="2850"/>
    <x v="0"/>
    <x v="287"/>
    <x v="0"/>
    <x v="0"/>
    <x v="5"/>
    <x v="3"/>
    <x v="0"/>
  </r>
  <r>
    <x v="743"/>
    <s v="Arjun Singh"/>
    <x v="2"/>
    <s v="Asthma"/>
    <n v="15025"/>
    <n v="14554"/>
    <x v="0"/>
    <x v="318"/>
    <x v="299"/>
    <x v="0"/>
    <x v="4"/>
    <x v="6"/>
    <x v="0"/>
  </r>
  <r>
    <x v="744"/>
    <s v="Kiran Patel"/>
    <x v="1"/>
    <s v="Cardiac Issue"/>
    <n v="26610"/>
    <n v="26460"/>
    <x v="0"/>
    <x v="139"/>
    <x v="300"/>
    <x v="1"/>
    <x v="4"/>
    <x v="1"/>
    <x v="5"/>
  </r>
  <r>
    <x v="745"/>
    <s v="Meena Gupta"/>
    <x v="5"/>
    <s v="Cardiac Issue"/>
    <n v="41939"/>
    <n v="41575"/>
    <x v="0"/>
    <x v="222"/>
    <x v="271"/>
    <x v="0"/>
    <x v="2"/>
    <x v="6"/>
    <x v="11"/>
  </r>
  <r>
    <x v="746"/>
    <s v="Kiran Patel"/>
    <x v="2"/>
    <s v="Migraine"/>
    <n v="15252"/>
    <n v="14992"/>
    <x v="0"/>
    <x v="213"/>
    <x v="150"/>
    <x v="0"/>
    <x v="3"/>
    <x v="1"/>
    <x v="4"/>
  </r>
  <r>
    <x v="747"/>
    <s v="Anil Reddy"/>
    <x v="0"/>
    <s v="Covid"/>
    <n v="32053"/>
    <n v="31703"/>
    <x v="0"/>
    <x v="319"/>
    <x v="48"/>
    <x v="1"/>
    <x v="0"/>
    <x v="8"/>
    <x v="3"/>
  </r>
  <r>
    <x v="748"/>
    <s v="Anil Reddy"/>
    <x v="5"/>
    <s v="Cardiac Issue"/>
    <n v="7667"/>
    <n v="5912"/>
    <x v="0"/>
    <x v="282"/>
    <x v="39"/>
    <x v="0"/>
    <x v="0"/>
    <x v="4"/>
    <x v="1"/>
  </r>
  <r>
    <x v="749"/>
    <s v="Arjun Singh"/>
    <x v="4"/>
    <s v="Migraine"/>
    <n v="2950"/>
    <n v="1443"/>
    <x v="0"/>
    <x v="10"/>
    <x v="264"/>
    <x v="1"/>
    <x v="2"/>
    <x v="8"/>
    <x v="2"/>
  </r>
  <r>
    <x v="750"/>
    <s v="Rohit Das"/>
    <x v="3"/>
    <s v="Fracture"/>
    <n v="39598"/>
    <n v="38743"/>
    <x v="0"/>
    <x v="4"/>
    <x v="298"/>
    <x v="1"/>
    <x v="5"/>
    <x v="5"/>
    <x v="4"/>
  </r>
  <r>
    <x v="751"/>
    <s v="Kavya Nair"/>
    <x v="0"/>
    <s v="Asthma"/>
    <n v="36807"/>
    <n v="35826"/>
    <x v="0"/>
    <x v="27"/>
    <x v="190"/>
    <x v="1"/>
    <x v="2"/>
    <x v="3"/>
    <x v="8"/>
  </r>
  <r>
    <x v="752"/>
    <s v="Kiran Patel"/>
    <x v="0"/>
    <s v="Fever"/>
    <n v="47426"/>
    <n v="45481"/>
    <x v="0"/>
    <x v="320"/>
    <x v="262"/>
    <x v="1"/>
    <x v="3"/>
    <x v="7"/>
    <x v="7"/>
  </r>
  <r>
    <x v="753"/>
    <s v="Kiran Patel"/>
    <x v="0"/>
    <s v="Fever"/>
    <n v="33443"/>
    <n v="33112"/>
    <x v="0"/>
    <x v="123"/>
    <x v="301"/>
    <x v="0"/>
    <x v="2"/>
    <x v="4"/>
    <x v="8"/>
  </r>
  <r>
    <x v="754"/>
    <s v="Arjun Singh"/>
    <x v="5"/>
    <s v="Asthma"/>
    <n v="14120"/>
    <n v="12837"/>
    <x v="0"/>
    <x v="106"/>
    <x v="6"/>
    <x v="0"/>
    <x v="2"/>
    <x v="5"/>
    <x v="5"/>
  </r>
  <r>
    <x v="755"/>
    <s v="Rahul Verma"/>
    <x v="0"/>
    <s v="Migraine"/>
    <n v="29911"/>
    <n v="28482"/>
    <x v="0"/>
    <x v="243"/>
    <x v="260"/>
    <x v="0"/>
    <x v="1"/>
    <x v="0"/>
    <x v="6"/>
  </r>
  <r>
    <x v="756"/>
    <s v="Priya Sharma"/>
    <x v="2"/>
    <s v="Fever"/>
    <n v="35733"/>
    <n v="33915"/>
    <x v="0"/>
    <x v="37"/>
    <x v="29"/>
    <x v="1"/>
    <x v="3"/>
    <x v="3"/>
    <x v="4"/>
  </r>
  <r>
    <x v="757"/>
    <s v="Arjun Singh"/>
    <x v="0"/>
    <s v="Infection"/>
    <n v="26014"/>
    <n v="24687"/>
    <x v="0"/>
    <x v="131"/>
    <x v="58"/>
    <x v="0"/>
    <x v="4"/>
    <x v="3"/>
    <x v="10"/>
  </r>
  <r>
    <x v="758"/>
    <s v="Rahul Verma"/>
    <x v="3"/>
    <s v="Diabetes"/>
    <n v="44535"/>
    <n v="43025"/>
    <x v="0"/>
    <x v="44"/>
    <x v="143"/>
    <x v="0"/>
    <x v="3"/>
    <x v="8"/>
    <x v="10"/>
  </r>
  <r>
    <x v="759"/>
    <s v="Rahul Verma"/>
    <x v="2"/>
    <s v="Asthma"/>
    <n v="20162"/>
    <n v="20033"/>
    <x v="0"/>
    <x v="136"/>
    <x v="302"/>
    <x v="1"/>
    <x v="2"/>
    <x v="6"/>
    <x v="11"/>
  </r>
  <r>
    <x v="760"/>
    <s v="Kavya Nair"/>
    <x v="0"/>
    <s v="Covid"/>
    <n v="48519"/>
    <n v="0"/>
    <x v="1"/>
    <x v="151"/>
    <x v="2"/>
    <x v="1"/>
    <x v="2"/>
    <x v="2"/>
    <x v="8"/>
  </r>
  <r>
    <x v="761"/>
    <s v="Rohit Das"/>
    <x v="2"/>
    <s v="Diabetes"/>
    <n v="14343"/>
    <n v="14165"/>
    <x v="0"/>
    <x v="63"/>
    <x v="303"/>
    <x v="0"/>
    <x v="3"/>
    <x v="9"/>
    <x v="0"/>
  </r>
  <r>
    <x v="762"/>
    <s v="Priya Sharma"/>
    <x v="0"/>
    <s v="Fracture"/>
    <n v="20084"/>
    <n v="18657"/>
    <x v="0"/>
    <x v="321"/>
    <x v="34"/>
    <x v="0"/>
    <x v="1"/>
    <x v="4"/>
    <x v="9"/>
  </r>
  <r>
    <x v="763"/>
    <s v="Kiran Patel"/>
    <x v="0"/>
    <s v="Migraine"/>
    <n v="29298"/>
    <n v="0"/>
    <x v="1"/>
    <x v="93"/>
    <x v="2"/>
    <x v="1"/>
    <x v="3"/>
    <x v="2"/>
    <x v="9"/>
  </r>
  <r>
    <x v="764"/>
    <s v="Meena Gupta"/>
    <x v="4"/>
    <s v="Fever"/>
    <n v="21104"/>
    <n v="20976"/>
    <x v="0"/>
    <x v="166"/>
    <x v="304"/>
    <x v="1"/>
    <x v="2"/>
    <x v="8"/>
    <x v="4"/>
  </r>
  <r>
    <x v="765"/>
    <s v="Rohit Das"/>
    <x v="2"/>
    <s v="Infection"/>
    <n v="33860"/>
    <n v="0"/>
    <x v="1"/>
    <x v="118"/>
    <x v="2"/>
    <x v="1"/>
    <x v="2"/>
    <x v="2"/>
    <x v="8"/>
  </r>
  <r>
    <x v="766"/>
    <s v="Sneha Iyer"/>
    <x v="5"/>
    <s v="Migraine"/>
    <n v="13254"/>
    <n v="12790"/>
    <x v="0"/>
    <x v="95"/>
    <x v="248"/>
    <x v="1"/>
    <x v="1"/>
    <x v="6"/>
    <x v="1"/>
  </r>
  <r>
    <x v="767"/>
    <s v="Ravi Kumar"/>
    <x v="5"/>
    <s v="Infection"/>
    <n v="20637"/>
    <n v="18679"/>
    <x v="0"/>
    <x v="228"/>
    <x v="62"/>
    <x v="0"/>
    <x v="5"/>
    <x v="1"/>
    <x v="9"/>
  </r>
  <r>
    <x v="768"/>
    <s v="Kavya Nair"/>
    <x v="2"/>
    <s v="Fracture"/>
    <n v="13492"/>
    <n v="13162"/>
    <x v="0"/>
    <x v="41"/>
    <x v="256"/>
    <x v="0"/>
    <x v="3"/>
    <x v="3"/>
    <x v="2"/>
  </r>
  <r>
    <x v="769"/>
    <s v="Rohit Das"/>
    <x v="5"/>
    <s v="Covid"/>
    <n v="19066"/>
    <n v="18689"/>
    <x v="0"/>
    <x v="186"/>
    <x v="262"/>
    <x v="0"/>
    <x v="5"/>
    <x v="0"/>
    <x v="7"/>
  </r>
  <r>
    <x v="770"/>
    <s v="Rahul Verma"/>
    <x v="2"/>
    <s v="Fracture"/>
    <n v="26439"/>
    <n v="25334"/>
    <x v="0"/>
    <x v="322"/>
    <x v="236"/>
    <x v="1"/>
    <x v="4"/>
    <x v="0"/>
    <x v="9"/>
  </r>
  <r>
    <x v="771"/>
    <s v="Ravi Kumar"/>
    <x v="1"/>
    <s v="Covid"/>
    <n v="11527"/>
    <n v="9627"/>
    <x v="0"/>
    <x v="57"/>
    <x v="305"/>
    <x v="0"/>
    <x v="5"/>
    <x v="7"/>
    <x v="3"/>
  </r>
  <r>
    <x v="772"/>
    <s v="Kavya Nair"/>
    <x v="2"/>
    <s v="Migraine"/>
    <n v="33058"/>
    <n v="31073"/>
    <x v="0"/>
    <x v="215"/>
    <x v="63"/>
    <x v="1"/>
    <x v="3"/>
    <x v="7"/>
    <x v="10"/>
  </r>
  <r>
    <x v="773"/>
    <s v="Priya Sharma"/>
    <x v="4"/>
    <s v="Fever"/>
    <n v="11137"/>
    <n v="0"/>
    <x v="1"/>
    <x v="287"/>
    <x v="2"/>
    <x v="1"/>
    <x v="4"/>
    <x v="2"/>
    <x v="0"/>
  </r>
  <r>
    <x v="774"/>
    <s v="Meena Gupta"/>
    <x v="3"/>
    <s v="Covid"/>
    <n v="25422"/>
    <n v="24754"/>
    <x v="0"/>
    <x v="158"/>
    <x v="306"/>
    <x v="0"/>
    <x v="0"/>
    <x v="1"/>
    <x v="4"/>
  </r>
  <r>
    <x v="775"/>
    <s v="Kavya Nair"/>
    <x v="3"/>
    <s v="Migraine"/>
    <n v="14826"/>
    <n v="14655"/>
    <x v="0"/>
    <x v="69"/>
    <x v="55"/>
    <x v="0"/>
    <x v="0"/>
    <x v="4"/>
    <x v="10"/>
  </r>
  <r>
    <x v="776"/>
    <s v="Meena Gupta"/>
    <x v="3"/>
    <s v="Covid"/>
    <n v="22824"/>
    <n v="0"/>
    <x v="1"/>
    <x v="128"/>
    <x v="2"/>
    <x v="0"/>
    <x v="5"/>
    <x v="2"/>
    <x v="6"/>
  </r>
  <r>
    <x v="777"/>
    <s v="Rahul Verma"/>
    <x v="1"/>
    <s v="Fracture"/>
    <n v="48921"/>
    <n v="48164"/>
    <x v="0"/>
    <x v="323"/>
    <x v="289"/>
    <x v="0"/>
    <x v="3"/>
    <x v="6"/>
    <x v="11"/>
  </r>
  <r>
    <x v="778"/>
    <s v="Rahul Verma"/>
    <x v="2"/>
    <s v="Migraine"/>
    <n v="31201"/>
    <n v="0"/>
    <x v="1"/>
    <x v="238"/>
    <x v="2"/>
    <x v="0"/>
    <x v="5"/>
    <x v="2"/>
    <x v="0"/>
  </r>
  <r>
    <x v="779"/>
    <s v="Arjun Singh"/>
    <x v="1"/>
    <s v="Covid"/>
    <n v="20915"/>
    <n v="19265"/>
    <x v="0"/>
    <x v="324"/>
    <x v="124"/>
    <x v="0"/>
    <x v="1"/>
    <x v="9"/>
    <x v="5"/>
  </r>
  <r>
    <x v="780"/>
    <s v="Rohit Das"/>
    <x v="0"/>
    <s v="Fracture"/>
    <n v="15617"/>
    <n v="14645"/>
    <x v="0"/>
    <x v="189"/>
    <x v="24"/>
    <x v="0"/>
    <x v="0"/>
    <x v="6"/>
    <x v="1"/>
  </r>
  <r>
    <x v="781"/>
    <s v="Meena Gupta"/>
    <x v="0"/>
    <s v="Fever"/>
    <n v="28834"/>
    <n v="27986"/>
    <x v="0"/>
    <x v="88"/>
    <x v="222"/>
    <x v="1"/>
    <x v="5"/>
    <x v="0"/>
    <x v="9"/>
  </r>
  <r>
    <x v="782"/>
    <s v="Rohit Das"/>
    <x v="5"/>
    <s v="Cardiac Issue"/>
    <n v="14190"/>
    <n v="13598"/>
    <x v="0"/>
    <x v="19"/>
    <x v="149"/>
    <x v="0"/>
    <x v="1"/>
    <x v="4"/>
    <x v="10"/>
  </r>
  <r>
    <x v="783"/>
    <s v="Sneha Iyer"/>
    <x v="2"/>
    <s v="Covid"/>
    <n v="38653"/>
    <n v="38194"/>
    <x v="0"/>
    <x v="137"/>
    <x v="81"/>
    <x v="0"/>
    <x v="3"/>
    <x v="5"/>
    <x v="4"/>
  </r>
  <r>
    <x v="784"/>
    <s v="Sneha Iyer"/>
    <x v="4"/>
    <s v="Diabetes"/>
    <n v="44848"/>
    <n v="43994"/>
    <x v="0"/>
    <x v="325"/>
    <x v="307"/>
    <x v="0"/>
    <x v="4"/>
    <x v="4"/>
    <x v="7"/>
  </r>
  <r>
    <x v="785"/>
    <s v="Priya Sharma"/>
    <x v="2"/>
    <s v="Covid"/>
    <n v="6372"/>
    <n v="0"/>
    <x v="1"/>
    <x v="92"/>
    <x v="2"/>
    <x v="1"/>
    <x v="0"/>
    <x v="2"/>
    <x v="11"/>
  </r>
  <r>
    <x v="786"/>
    <s v="Meena Gupta"/>
    <x v="2"/>
    <s v="Covid"/>
    <n v="47498"/>
    <n v="46734"/>
    <x v="0"/>
    <x v="326"/>
    <x v="16"/>
    <x v="0"/>
    <x v="1"/>
    <x v="1"/>
    <x v="1"/>
  </r>
  <r>
    <x v="787"/>
    <s v="Sneha Iyer"/>
    <x v="5"/>
    <s v="Fever"/>
    <n v="11577"/>
    <n v="10633"/>
    <x v="0"/>
    <x v="98"/>
    <x v="308"/>
    <x v="1"/>
    <x v="4"/>
    <x v="7"/>
    <x v="8"/>
  </r>
  <r>
    <x v="788"/>
    <s v="Ravi Kumar"/>
    <x v="2"/>
    <s v="Infection"/>
    <n v="29493"/>
    <n v="29394"/>
    <x v="0"/>
    <x v="162"/>
    <x v="153"/>
    <x v="0"/>
    <x v="0"/>
    <x v="10"/>
    <x v="2"/>
  </r>
  <r>
    <x v="789"/>
    <s v="Kiran Patel"/>
    <x v="5"/>
    <s v="Diabetes"/>
    <n v="41240"/>
    <n v="40127"/>
    <x v="0"/>
    <x v="310"/>
    <x v="208"/>
    <x v="1"/>
    <x v="3"/>
    <x v="6"/>
    <x v="3"/>
  </r>
  <r>
    <x v="790"/>
    <s v="Rahul Verma"/>
    <x v="0"/>
    <s v="Infection"/>
    <n v="11418"/>
    <n v="11138"/>
    <x v="0"/>
    <x v="327"/>
    <x v="309"/>
    <x v="1"/>
    <x v="1"/>
    <x v="10"/>
    <x v="1"/>
  </r>
  <r>
    <x v="791"/>
    <s v="Arjun Singh"/>
    <x v="1"/>
    <s v="Infection"/>
    <n v="12684"/>
    <n v="12238"/>
    <x v="0"/>
    <x v="270"/>
    <x v="268"/>
    <x v="0"/>
    <x v="1"/>
    <x v="0"/>
    <x v="9"/>
  </r>
  <r>
    <x v="792"/>
    <s v="Kiran Patel"/>
    <x v="0"/>
    <s v="Asthma"/>
    <n v="32178"/>
    <n v="31940"/>
    <x v="0"/>
    <x v="93"/>
    <x v="40"/>
    <x v="1"/>
    <x v="3"/>
    <x v="5"/>
    <x v="9"/>
  </r>
  <r>
    <x v="793"/>
    <s v="Sneha Iyer"/>
    <x v="2"/>
    <s v="Fracture"/>
    <n v="30962"/>
    <n v="0"/>
    <x v="1"/>
    <x v="282"/>
    <x v="2"/>
    <x v="1"/>
    <x v="4"/>
    <x v="2"/>
    <x v="1"/>
  </r>
  <r>
    <x v="794"/>
    <s v="Sneha Iyer"/>
    <x v="0"/>
    <s v="Diabetes"/>
    <n v="16572"/>
    <n v="14818"/>
    <x v="0"/>
    <x v="211"/>
    <x v="190"/>
    <x v="0"/>
    <x v="3"/>
    <x v="7"/>
    <x v="8"/>
  </r>
  <r>
    <x v="795"/>
    <s v="Anil Reddy"/>
    <x v="3"/>
    <s v="Fracture"/>
    <n v="7151"/>
    <n v="5737"/>
    <x v="0"/>
    <x v="221"/>
    <x v="286"/>
    <x v="0"/>
    <x v="1"/>
    <x v="3"/>
    <x v="0"/>
  </r>
  <r>
    <x v="796"/>
    <s v="Arjun Singh"/>
    <x v="1"/>
    <s v="Fever"/>
    <n v="14868"/>
    <n v="14801"/>
    <x v="0"/>
    <x v="299"/>
    <x v="70"/>
    <x v="0"/>
    <x v="2"/>
    <x v="0"/>
    <x v="8"/>
  </r>
  <r>
    <x v="797"/>
    <s v="Priya Sharma"/>
    <x v="2"/>
    <s v="Fever"/>
    <n v="6341"/>
    <n v="4974"/>
    <x v="0"/>
    <x v="226"/>
    <x v="258"/>
    <x v="0"/>
    <x v="0"/>
    <x v="3"/>
    <x v="4"/>
  </r>
  <r>
    <x v="798"/>
    <s v="Kiran Patel"/>
    <x v="3"/>
    <s v="Fracture"/>
    <n v="45948"/>
    <n v="45889"/>
    <x v="0"/>
    <x v="328"/>
    <x v="50"/>
    <x v="1"/>
    <x v="0"/>
    <x v="7"/>
    <x v="0"/>
  </r>
  <r>
    <x v="799"/>
    <s v="Rahul Verma"/>
    <x v="2"/>
    <s v="Fracture"/>
    <n v="34809"/>
    <n v="0"/>
    <x v="1"/>
    <x v="201"/>
    <x v="2"/>
    <x v="0"/>
    <x v="4"/>
    <x v="2"/>
    <x v="2"/>
  </r>
  <r>
    <x v="800"/>
    <s v="Rohit Das"/>
    <x v="0"/>
    <s v="Cardiac Issue"/>
    <n v="48911"/>
    <n v="46937"/>
    <x v="0"/>
    <x v="36"/>
    <x v="310"/>
    <x v="0"/>
    <x v="5"/>
    <x v="7"/>
    <x v="2"/>
  </r>
  <r>
    <x v="801"/>
    <s v="Priya Sharma"/>
    <x v="3"/>
    <s v="Covid"/>
    <n v="26016"/>
    <n v="0"/>
    <x v="1"/>
    <x v="79"/>
    <x v="2"/>
    <x v="1"/>
    <x v="5"/>
    <x v="2"/>
    <x v="7"/>
  </r>
  <r>
    <x v="802"/>
    <s v="Priya Sharma"/>
    <x v="5"/>
    <s v="Infection"/>
    <n v="26878"/>
    <n v="26440"/>
    <x v="0"/>
    <x v="275"/>
    <x v="224"/>
    <x v="1"/>
    <x v="4"/>
    <x v="8"/>
    <x v="1"/>
  </r>
  <r>
    <x v="803"/>
    <s v="Rahul Verma"/>
    <x v="0"/>
    <s v="Covid"/>
    <n v="9229"/>
    <n v="0"/>
    <x v="1"/>
    <x v="184"/>
    <x v="2"/>
    <x v="1"/>
    <x v="1"/>
    <x v="2"/>
    <x v="9"/>
  </r>
  <r>
    <x v="804"/>
    <s v="Rahul Verma"/>
    <x v="2"/>
    <s v="Fever"/>
    <n v="7390"/>
    <n v="6379"/>
    <x v="0"/>
    <x v="287"/>
    <x v="72"/>
    <x v="1"/>
    <x v="2"/>
    <x v="9"/>
    <x v="0"/>
  </r>
  <r>
    <x v="805"/>
    <s v="Rohit Das"/>
    <x v="2"/>
    <s v="Covid"/>
    <n v="16802"/>
    <n v="0"/>
    <x v="1"/>
    <x v="329"/>
    <x v="2"/>
    <x v="1"/>
    <x v="1"/>
    <x v="2"/>
    <x v="11"/>
  </r>
  <r>
    <x v="806"/>
    <s v="Meena Gupta"/>
    <x v="3"/>
    <s v="Diabetes"/>
    <n v="33173"/>
    <n v="32806"/>
    <x v="0"/>
    <x v="248"/>
    <x v="81"/>
    <x v="0"/>
    <x v="2"/>
    <x v="4"/>
    <x v="4"/>
  </r>
  <r>
    <x v="807"/>
    <s v="Arjun Singh"/>
    <x v="0"/>
    <s v="Diabetes"/>
    <n v="11395"/>
    <n v="10575"/>
    <x v="0"/>
    <x v="211"/>
    <x v="23"/>
    <x v="0"/>
    <x v="5"/>
    <x v="1"/>
    <x v="8"/>
  </r>
  <r>
    <x v="808"/>
    <s v="Anil Reddy"/>
    <x v="0"/>
    <s v="Infection"/>
    <n v="15047"/>
    <n v="14637"/>
    <x v="0"/>
    <x v="127"/>
    <x v="311"/>
    <x v="0"/>
    <x v="4"/>
    <x v="9"/>
    <x v="10"/>
  </r>
  <r>
    <x v="809"/>
    <s v="Meena Gupta"/>
    <x v="4"/>
    <s v="Migraine"/>
    <n v="48759"/>
    <n v="0"/>
    <x v="1"/>
    <x v="230"/>
    <x v="2"/>
    <x v="1"/>
    <x v="1"/>
    <x v="2"/>
    <x v="10"/>
  </r>
  <r>
    <x v="810"/>
    <s v="Meena Gupta"/>
    <x v="2"/>
    <s v="Covid"/>
    <n v="45691"/>
    <n v="0"/>
    <x v="1"/>
    <x v="74"/>
    <x v="2"/>
    <x v="1"/>
    <x v="0"/>
    <x v="2"/>
    <x v="11"/>
  </r>
  <r>
    <x v="811"/>
    <s v="Sneha Iyer"/>
    <x v="5"/>
    <s v="Covid"/>
    <n v="9080"/>
    <n v="8567"/>
    <x v="0"/>
    <x v="330"/>
    <x v="312"/>
    <x v="0"/>
    <x v="5"/>
    <x v="4"/>
    <x v="1"/>
  </r>
  <r>
    <x v="812"/>
    <s v="Anil Reddy"/>
    <x v="0"/>
    <s v="Diabetes"/>
    <n v="5463"/>
    <n v="4443"/>
    <x v="0"/>
    <x v="151"/>
    <x v="26"/>
    <x v="0"/>
    <x v="2"/>
    <x v="5"/>
    <x v="8"/>
  </r>
  <r>
    <x v="813"/>
    <s v="Rohit Das"/>
    <x v="2"/>
    <s v="Fracture"/>
    <n v="21841"/>
    <n v="0"/>
    <x v="1"/>
    <x v="115"/>
    <x v="2"/>
    <x v="0"/>
    <x v="1"/>
    <x v="2"/>
    <x v="6"/>
  </r>
  <r>
    <x v="814"/>
    <s v="Priya Sharma"/>
    <x v="4"/>
    <s v="Covid"/>
    <n v="15233"/>
    <n v="13878"/>
    <x v="0"/>
    <x v="331"/>
    <x v="174"/>
    <x v="1"/>
    <x v="0"/>
    <x v="4"/>
    <x v="1"/>
  </r>
  <r>
    <x v="815"/>
    <s v="Rahul Verma"/>
    <x v="0"/>
    <s v="Fever"/>
    <n v="30207"/>
    <n v="29422"/>
    <x v="0"/>
    <x v="70"/>
    <x v="169"/>
    <x v="1"/>
    <x v="2"/>
    <x v="6"/>
    <x v="5"/>
  </r>
  <r>
    <x v="816"/>
    <s v="Arjun Singh"/>
    <x v="0"/>
    <s v="Fever"/>
    <n v="13591"/>
    <n v="0"/>
    <x v="1"/>
    <x v="299"/>
    <x v="2"/>
    <x v="1"/>
    <x v="5"/>
    <x v="2"/>
    <x v="8"/>
  </r>
  <r>
    <x v="817"/>
    <s v="Anil Reddy"/>
    <x v="4"/>
    <s v="Asthma"/>
    <n v="10813"/>
    <n v="9348"/>
    <x v="0"/>
    <x v="60"/>
    <x v="186"/>
    <x v="0"/>
    <x v="0"/>
    <x v="4"/>
    <x v="11"/>
  </r>
  <r>
    <x v="818"/>
    <s v="Arjun Singh"/>
    <x v="4"/>
    <s v="Covid"/>
    <n v="38847"/>
    <n v="37810"/>
    <x v="0"/>
    <x v="158"/>
    <x v="17"/>
    <x v="1"/>
    <x v="2"/>
    <x v="9"/>
    <x v="4"/>
  </r>
  <r>
    <x v="819"/>
    <s v="Rohit Das"/>
    <x v="1"/>
    <s v="Infection"/>
    <n v="20640"/>
    <n v="20515"/>
    <x v="0"/>
    <x v="252"/>
    <x v="31"/>
    <x v="0"/>
    <x v="4"/>
    <x v="1"/>
    <x v="4"/>
  </r>
  <r>
    <x v="820"/>
    <s v="Rahul Verma"/>
    <x v="2"/>
    <s v="Fever"/>
    <n v="42970"/>
    <n v="42191"/>
    <x v="0"/>
    <x v="107"/>
    <x v="179"/>
    <x v="1"/>
    <x v="3"/>
    <x v="9"/>
    <x v="0"/>
  </r>
  <r>
    <x v="821"/>
    <s v="Meena Gupta"/>
    <x v="2"/>
    <s v="Fever"/>
    <n v="45335"/>
    <n v="44828"/>
    <x v="0"/>
    <x v="30"/>
    <x v="253"/>
    <x v="0"/>
    <x v="5"/>
    <x v="10"/>
    <x v="7"/>
  </r>
  <r>
    <x v="822"/>
    <s v="Priya Sharma"/>
    <x v="2"/>
    <s v="Diabetes"/>
    <n v="24124"/>
    <n v="24084"/>
    <x v="0"/>
    <x v="69"/>
    <x v="226"/>
    <x v="0"/>
    <x v="2"/>
    <x v="6"/>
    <x v="10"/>
  </r>
  <r>
    <x v="823"/>
    <s v="Meena Gupta"/>
    <x v="1"/>
    <s v="Migraine"/>
    <n v="3337"/>
    <n v="2133"/>
    <x v="0"/>
    <x v="166"/>
    <x v="102"/>
    <x v="1"/>
    <x v="0"/>
    <x v="6"/>
    <x v="4"/>
  </r>
  <r>
    <x v="824"/>
    <s v="Meena Gupta"/>
    <x v="2"/>
    <s v="Diabetes"/>
    <n v="34005"/>
    <n v="32591"/>
    <x v="0"/>
    <x v="50"/>
    <x v="42"/>
    <x v="1"/>
    <x v="2"/>
    <x v="8"/>
    <x v="8"/>
  </r>
  <r>
    <x v="825"/>
    <s v="Kavya Nair"/>
    <x v="2"/>
    <s v="Fracture"/>
    <n v="42293"/>
    <n v="41549"/>
    <x v="0"/>
    <x v="316"/>
    <x v="54"/>
    <x v="1"/>
    <x v="5"/>
    <x v="8"/>
    <x v="5"/>
  </r>
  <r>
    <x v="826"/>
    <s v="Priya Sharma"/>
    <x v="3"/>
    <s v="Migraine"/>
    <n v="19377"/>
    <n v="18769"/>
    <x v="0"/>
    <x v="215"/>
    <x v="313"/>
    <x v="0"/>
    <x v="0"/>
    <x v="9"/>
    <x v="10"/>
  </r>
  <r>
    <x v="827"/>
    <s v="Priya Sharma"/>
    <x v="0"/>
    <s v="Infection"/>
    <n v="19915"/>
    <n v="18755"/>
    <x v="0"/>
    <x v="29"/>
    <x v="18"/>
    <x v="1"/>
    <x v="4"/>
    <x v="4"/>
    <x v="1"/>
  </r>
  <r>
    <x v="828"/>
    <s v="Rahul Verma"/>
    <x v="0"/>
    <s v="Migraine"/>
    <n v="35072"/>
    <n v="34186"/>
    <x v="0"/>
    <x v="90"/>
    <x v="26"/>
    <x v="1"/>
    <x v="4"/>
    <x v="0"/>
    <x v="8"/>
  </r>
  <r>
    <x v="829"/>
    <s v="Meena Gupta"/>
    <x v="1"/>
    <s v="Migraine"/>
    <n v="42957"/>
    <n v="0"/>
    <x v="1"/>
    <x v="6"/>
    <x v="2"/>
    <x v="0"/>
    <x v="4"/>
    <x v="2"/>
    <x v="5"/>
  </r>
  <r>
    <x v="830"/>
    <s v="Kavya Nair"/>
    <x v="5"/>
    <s v="Covid"/>
    <n v="15956"/>
    <n v="15408"/>
    <x v="0"/>
    <x v="332"/>
    <x v="234"/>
    <x v="1"/>
    <x v="0"/>
    <x v="0"/>
    <x v="6"/>
  </r>
  <r>
    <x v="831"/>
    <s v="Ravi Kumar"/>
    <x v="3"/>
    <s v="Infection"/>
    <n v="32309"/>
    <n v="31817"/>
    <x v="0"/>
    <x v="304"/>
    <x v="272"/>
    <x v="1"/>
    <x v="2"/>
    <x v="10"/>
    <x v="9"/>
  </r>
  <r>
    <x v="832"/>
    <s v="Rahul Verma"/>
    <x v="0"/>
    <s v="Cardiac Issue"/>
    <n v="29029"/>
    <n v="27343"/>
    <x v="0"/>
    <x v="333"/>
    <x v="314"/>
    <x v="1"/>
    <x v="5"/>
    <x v="7"/>
    <x v="2"/>
  </r>
  <r>
    <x v="833"/>
    <s v="Rohit Das"/>
    <x v="3"/>
    <s v="Asthma"/>
    <n v="17629"/>
    <n v="17322"/>
    <x v="0"/>
    <x v="197"/>
    <x v="307"/>
    <x v="0"/>
    <x v="1"/>
    <x v="5"/>
    <x v="7"/>
  </r>
  <r>
    <x v="834"/>
    <s v="Sneha Iyer"/>
    <x v="4"/>
    <s v="Covid"/>
    <n v="38688"/>
    <n v="37824"/>
    <x v="0"/>
    <x v="264"/>
    <x v="218"/>
    <x v="0"/>
    <x v="4"/>
    <x v="5"/>
    <x v="6"/>
  </r>
  <r>
    <x v="835"/>
    <s v="Sneha Iyer"/>
    <x v="5"/>
    <s v="Fever"/>
    <n v="18934"/>
    <n v="17586"/>
    <x v="0"/>
    <x v="168"/>
    <x v="246"/>
    <x v="0"/>
    <x v="5"/>
    <x v="7"/>
    <x v="10"/>
  </r>
  <r>
    <x v="836"/>
    <s v="Arjun Singh"/>
    <x v="0"/>
    <s v="Fever"/>
    <n v="7500"/>
    <n v="6268"/>
    <x v="0"/>
    <x v="175"/>
    <x v="28"/>
    <x v="1"/>
    <x v="3"/>
    <x v="3"/>
    <x v="3"/>
  </r>
  <r>
    <x v="837"/>
    <s v="Priya Sharma"/>
    <x v="1"/>
    <s v="Fracture"/>
    <n v="17469"/>
    <n v="16300"/>
    <x v="0"/>
    <x v="334"/>
    <x v="312"/>
    <x v="1"/>
    <x v="2"/>
    <x v="3"/>
    <x v="1"/>
  </r>
  <r>
    <x v="838"/>
    <s v="Priya Sharma"/>
    <x v="3"/>
    <s v="Diabetes"/>
    <n v="22539"/>
    <n v="20835"/>
    <x v="0"/>
    <x v="231"/>
    <x v="280"/>
    <x v="0"/>
    <x v="2"/>
    <x v="9"/>
    <x v="10"/>
  </r>
  <r>
    <x v="839"/>
    <s v="Kiran Patel"/>
    <x v="5"/>
    <s v="Diabetes"/>
    <n v="13478"/>
    <n v="11492"/>
    <x v="0"/>
    <x v="160"/>
    <x v="36"/>
    <x v="1"/>
    <x v="3"/>
    <x v="4"/>
    <x v="2"/>
  </r>
  <r>
    <x v="840"/>
    <s v="Rohit Das"/>
    <x v="0"/>
    <s v="Covid"/>
    <n v="36961"/>
    <n v="35529"/>
    <x v="0"/>
    <x v="221"/>
    <x v="94"/>
    <x v="1"/>
    <x v="2"/>
    <x v="6"/>
    <x v="0"/>
  </r>
  <r>
    <x v="841"/>
    <s v="Kiran Patel"/>
    <x v="2"/>
    <s v="Fracture"/>
    <n v="25789"/>
    <n v="24324"/>
    <x v="0"/>
    <x v="120"/>
    <x v="315"/>
    <x v="0"/>
    <x v="5"/>
    <x v="10"/>
    <x v="11"/>
  </r>
  <r>
    <x v="842"/>
    <s v="Rohit Das"/>
    <x v="0"/>
    <s v="Fever"/>
    <n v="47264"/>
    <n v="46746"/>
    <x v="0"/>
    <x v="195"/>
    <x v="141"/>
    <x v="1"/>
    <x v="5"/>
    <x v="9"/>
    <x v="10"/>
  </r>
  <r>
    <x v="843"/>
    <s v="Rahul Verma"/>
    <x v="0"/>
    <s v="Cardiac Issue"/>
    <n v="30993"/>
    <n v="30977"/>
    <x v="0"/>
    <x v="206"/>
    <x v="22"/>
    <x v="1"/>
    <x v="4"/>
    <x v="10"/>
    <x v="11"/>
  </r>
  <r>
    <x v="844"/>
    <s v="Kiran Patel"/>
    <x v="2"/>
    <s v="Cardiac Issue"/>
    <n v="12500"/>
    <n v="11207"/>
    <x v="0"/>
    <x v="241"/>
    <x v="57"/>
    <x v="0"/>
    <x v="3"/>
    <x v="9"/>
    <x v="3"/>
  </r>
  <r>
    <x v="845"/>
    <s v="Priya Sharma"/>
    <x v="4"/>
    <s v="Covid"/>
    <n v="29063"/>
    <n v="27594"/>
    <x v="0"/>
    <x v="17"/>
    <x v="168"/>
    <x v="0"/>
    <x v="5"/>
    <x v="3"/>
    <x v="5"/>
  </r>
  <r>
    <x v="846"/>
    <s v="Sneha Iyer"/>
    <x v="0"/>
    <s v="Infection"/>
    <n v="29582"/>
    <n v="0"/>
    <x v="1"/>
    <x v="288"/>
    <x v="2"/>
    <x v="1"/>
    <x v="2"/>
    <x v="2"/>
    <x v="10"/>
  </r>
  <r>
    <x v="847"/>
    <s v="Ravi Kumar"/>
    <x v="0"/>
    <s v="Fracture"/>
    <n v="43297"/>
    <n v="41677"/>
    <x v="0"/>
    <x v="161"/>
    <x v="283"/>
    <x v="0"/>
    <x v="2"/>
    <x v="7"/>
    <x v="6"/>
  </r>
  <r>
    <x v="848"/>
    <s v="Kiran Patel"/>
    <x v="2"/>
    <s v="Infection"/>
    <n v="39736"/>
    <n v="39510"/>
    <x v="0"/>
    <x v="296"/>
    <x v="293"/>
    <x v="0"/>
    <x v="1"/>
    <x v="8"/>
    <x v="9"/>
  </r>
  <r>
    <x v="849"/>
    <s v="Rohit Das"/>
    <x v="1"/>
    <s v="Infection"/>
    <n v="31588"/>
    <n v="29800"/>
    <x v="0"/>
    <x v="182"/>
    <x v="197"/>
    <x v="0"/>
    <x v="5"/>
    <x v="10"/>
    <x v="9"/>
  </r>
  <r>
    <x v="850"/>
    <s v="Rohit Das"/>
    <x v="2"/>
    <s v="Migraine"/>
    <n v="15019"/>
    <n v="14171"/>
    <x v="0"/>
    <x v="120"/>
    <x v="177"/>
    <x v="1"/>
    <x v="2"/>
    <x v="7"/>
    <x v="11"/>
  </r>
  <r>
    <x v="851"/>
    <s v="Rohit Das"/>
    <x v="3"/>
    <s v="Fever"/>
    <n v="3505"/>
    <n v="0"/>
    <x v="1"/>
    <x v="264"/>
    <x v="2"/>
    <x v="0"/>
    <x v="4"/>
    <x v="2"/>
    <x v="6"/>
  </r>
  <r>
    <x v="852"/>
    <s v="Arjun Singh"/>
    <x v="3"/>
    <s v="Migraine"/>
    <n v="47957"/>
    <n v="47856"/>
    <x v="0"/>
    <x v="26"/>
    <x v="69"/>
    <x v="1"/>
    <x v="0"/>
    <x v="1"/>
    <x v="11"/>
  </r>
  <r>
    <x v="853"/>
    <s v="Sneha Iyer"/>
    <x v="5"/>
    <s v="Diabetes"/>
    <n v="26112"/>
    <n v="24173"/>
    <x v="0"/>
    <x v="274"/>
    <x v="114"/>
    <x v="0"/>
    <x v="5"/>
    <x v="3"/>
    <x v="10"/>
  </r>
  <r>
    <x v="854"/>
    <s v="Kavya Nair"/>
    <x v="1"/>
    <s v="Covid"/>
    <n v="46145"/>
    <n v="45903"/>
    <x v="0"/>
    <x v="138"/>
    <x v="60"/>
    <x v="0"/>
    <x v="1"/>
    <x v="8"/>
    <x v="7"/>
  </r>
  <r>
    <x v="855"/>
    <s v="Sneha Iyer"/>
    <x v="2"/>
    <s v="Covid"/>
    <n v="27039"/>
    <n v="26156"/>
    <x v="0"/>
    <x v="186"/>
    <x v="122"/>
    <x v="0"/>
    <x v="1"/>
    <x v="1"/>
    <x v="7"/>
  </r>
  <r>
    <x v="856"/>
    <s v="Sneha Iyer"/>
    <x v="3"/>
    <s v="Asthma"/>
    <n v="13820"/>
    <n v="12198"/>
    <x v="0"/>
    <x v="112"/>
    <x v="97"/>
    <x v="1"/>
    <x v="3"/>
    <x v="5"/>
    <x v="9"/>
  </r>
  <r>
    <x v="857"/>
    <s v="Kiran Patel"/>
    <x v="4"/>
    <s v="Cardiac Issue"/>
    <n v="26224"/>
    <n v="0"/>
    <x v="1"/>
    <x v="307"/>
    <x v="2"/>
    <x v="1"/>
    <x v="4"/>
    <x v="2"/>
    <x v="8"/>
  </r>
  <r>
    <x v="858"/>
    <s v="Ravi Kumar"/>
    <x v="4"/>
    <s v="Fracture"/>
    <n v="23184"/>
    <n v="21778"/>
    <x v="0"/>
    <x v="315"/>
    <x v="122"/>
    <x v="1"/>
    <x v="5"/>
    <x v="9"/>
    <x v="7"/>
  </r>
  <r>
    <x v="859"/>
    <s v="Rohit Das"/>
    <x v="2"/>
    <s v="Diabetes"/>
    <n v="8244"/>
    <n v="0"/>
    <x v="1"/>
    <x v="163"/>
    <x v="2"/>
    <x v="0"/>
    <x v="3"/>
    <x v="2"/>
    <x v="4"/>
  </r>
  <r>
    <x v="860"/>
    <s v="Kiran Patel"/>
    <x v="4"/>
    <s v="Infection"/>
    <n v="41739"/>
    <n v="0"/>
    <x v="1"/>
    <x v="159"/>
    <x v="2"/>
    <x v="0"/>
    <x v="4"/>
    <x v="2"/>
    <x v="8"/>
  </r>
  <r>
    <x v="861"/>
    <s v="Sneha Iyer"/>
    <x v="1"/>
    <s v="Migraine"/>
    <n v="27866"/>
    <n v="27596"/>
    <x v="0"/>
    <x v="131"/>
    <x v="90"/>
    <x v="0"/>
    <x v="3"/>
    <x v="5"/>
    <x v="10"/>
  </r>
  <r>
    <x v="862"/>
    <s v="Anil Reddy"/>
    <x v="4"/>
    <s v="Infection"/>
    <n v="32676"/>
    <n v="32493"/>
    <x v="0"/>
    <x v="241"/>
    <x v="208"/>
    <x v="1"/>
    <x v="4"/>
    <x v="0"/>
    <x v="3"/>
  </r>
  <r>
    <x v="863"/>
    <s v="Sneha Iyer"/>
    <x v="0"/>
    <s v="Infection"/>
    <n v="4894"/>
    <n v="3872"/>
    <x v="0"/>
    <x v="335"/>
    <x v="314"/>
    <x v="1"/>
    <x v="3"/>
    <x v="6"/>
    <x v="2"/>
  </r>
  <r>
    <x v="864"/>
    <s v="Sneha Iyer"/>
    <x v="2"/>
    <s v="Infection"/>
    <n v="30558"/>
    <n v="29912"/>
    <x v="0"/>
    <x v="293"/>
    <x v="136"/>
    <x v="1"/>
    <x v="4"/>
    <x v="7"/>
    <x v="1"/>
  </r>
  <r>
    <x v="865"/>
    <s v="Kiran Patel"/>
    <x v="5"/>
    <s v="Fever"/>
    <n v="17064"/>
    <n v="16991"/>
    <x v="0"/>
    <x v="126"/>
    <x v="316"/>
    <x v="0"/>
    <x v="5"/>
    <x v="10"/>
    <x v="5"/>
  </r>
  <r>
    <x v="866"/>
    <s v="Arjun Singh"/>
    <x v="1"/>
    <s v="Diabetes"/>
    <n v="34434"/>
    <n v="33530"/>
    <x v="0"/>
    <x v="202"/>
    <x v="177"/>
    <x v="1"/>
    <x v="2"/>
    <x v="0"/>
    <x v="11"/>
  </r>
  <r>
    <x v="867"/>
    <s v="Arjun Singh"/>
    <x v="0"/>
    <s v="Fracture"/>
    <n v="10103"/>
    <n v="9912"/>
    <x v="0"/>
    <x v="336"/>
    <x v="317"/>
    <x v="0"/>
    <x v="1"/>
    <x v="10"/>
    <x v="7"/>
  </r>
  <r>
    <x v="868"/>
    <s v="Anil Reddy"/>
    <x v="2"/>
    <s v="Cardiac Issue"/>
    <n v="40243"/>
    <n v="39166"/>
    <x v="0"/>
    <x v="247"/>
    <x v="318"/>
    <x v="1"/>
    <x v="4"/>
    <x v="7"/>
    <x v="10"/>
  </r>
  <r>
    <x v="869"/>
    <s v="Kiran Patel"/>
    <x v="4"/>
    <s v="Diabetes"/>
    <n v="23538"/>
    <n v="22956"/>
    <x v="0"/>
    <x v="12"/>
    <x v="117"/>
    <x v="1"/>
    <x v="3"/>
    <x v="3"/>
    <x v="8"/>
  </r>
  <r>
    <x v="870"/>
    <s v="Rohit Das"/>
    <x v="0"/>
    <s v="Infection"/>
    <n v="12077"/>
    <n v="11911"/>
    <x v="0"/>
    <x v="294"/>
    <x v="284"/>
    <x v="1"/>
    <x v="5"/>
    <x v="4"/>
    <x v="5"/>
  </r>
  <r>
    <x v="871"/>
    <s v="Sneha Iyer"/>
    <x v="0"/>
    <s v="Infection"/>
    <n v="4873"/>
    <n v="0"/>
    <x v="1"/>
    <x v="234"/>
    <x v="2"/>
    <x v="1"/>
    <x v="5"/>
    <x v="2"/>
    <x v="5"/>
  </r>
  <r>
    <x v="872"/>
    <s v="Rohit Das"/>
    <x v="5"/>
    <s v="Cardiac Issue"/>
    <n v="5190"/>
    <n v="4529"/>
    <x v="0"/>
    <x v="158"/>
    <x v="4"/>
    <x v="1"/>
    <x v="4"/>
    <x v="3"/>
    <x v="4"/>
  </r>
  <r>
    <x v="873"/>
    <s v="Meena Gupta"/>
    <x v="2"/>
    <s v="Fracture"/>
    <n v="17733"/>
    <n v="17551"/>
    <x v="0"/>
    <x v="111"/>
    <x v="81"/>
    <x v="0"/>
    <x v="2"/>
    <x v="8"/>
    <x v="4"/>
  </r>
  <r>
    <x v="874"/>
    <s v="Meena Gupta"/>
    <x v="2"/>
    <s v="Fracture"/>
    <n v="9903"/>
    <n v="8898"/>
    <x v="0"/>
    <x v="68"/>
    <x v="19"/>
    <x v="0"/>
    <x v="3"/>
    <x v="10"/>
    <x v="5"/>
  </r>
  <r>
    <x v="875"/>
    <s v="Priya Sharma"/>
    <x v="2"/>
    <s v="Cardiac Issue"/>
    <n v="34087"/>
    <n v="32274"/>
    <x v="0"/>
    <x v="222"/>
    <x v="22"/>
    <x v="1"/>
    <x v="0"/>
    <x v="4"/>
    <x v="11"/>
  </r>
  <r>
    <x v="876"/>
    <s v="Rohit Das"/>
    <x v="1"/>
    <s v="Diabetes"/>
    <n v="29691"/>
    <n v="28434"/>
    <x v="0"/>
    <x v="149"/>
    <x v="180"/>
    <x v="1"/>
    <x v="4"/>
    <x v="9"/>
    <x v="7"/>
  </r>
  <r>
    <x v="877"/>
    <s v="Ravi Kumar"/>
    <x v="2"/>
    <s v="Covid"/>
    <n v="46331"/>
    <n v="45005"/>
    <x v="0"/>
    <x v="233"/>
    <x v="220"/>
    <x v="1"/>
    <x v="0"/>
    <x v="7"/>
    <x v="8"/>
  </r>
  <r>
    <x v="878"/>
    <s v="Kavya Nair"/>
    <x v="0"/>
    <s v="Migraine"/>
    <n v="32685"/>
    <n v="32523"/>
    <x v="0"/>
    <x v="337"/>
    <x v="183"/>
    <x v="0"/>
    <x v="4"/>
    <x v="10"/>
    <x v="1"/>
  </r>
  <r>
    <x v="879"/>
    <s v="Sneha Iyer"/>
    <x v="3"/>
    <s v="Asthma"/>
    <n v="21364"/>
    <n v="0"/>
    <x v="1"/>
    <x v="262"/>
    <x v="2"/>
    <x v="0"/>
    <x v="4"/>
    <x v="2"/>
    <x v="4"/>
  </r>
  <r>
    <x v="880"/>
    <s v="Kavya Nair"/>
    <x v="0"/>
    <s v="Asthma"/>
    <n v="29067"/>
    <n v="28116"/>
    <x v="0"/>
    <x v="83"/>
    <x v="26"/>
    <x v="1"/>
    <x v="3"/>
    <x v="1"/>
    <x v="8"/>
  </r>
  <r>
    <x v="881"/>
    <s v="Sneha Iyer"/>
    <x v="0"/>
    <s v="Fever"/>
    <n v="9466"/>
    <n v="9099"/>
    <x v="0"/>
    <x v="338"/>
    <x v="270"/>
    <x v="0"/>
    <x v="4"/>
    <x v="9"/>
    <x v="7"/>
  </r>
  <r>
    <x v="882"/>
    <s v="Meena Gupta"/>
    <x v="2"/>
    <s v="Infection"/>
    <n v="40483"/>
    <n v="38932"/>
    <x v="0"/>
    <x v="32"/>
    <x v="152"/>
    <x v="1"/>
    <x v="3"/>
    <x v="4"/>
    <x v="8"/>
  </r>
  <r>
    <x v="883"/>
    <s v="Anil Reddy"/>
    <x v="3"/>
    <s v="Fracture"/>
    <n v="7126"/>
    <n v="0"/>
    <x v="1"/>
    <x v="235"/>
    <x v="2"/>
    <x v="0"/>
    <x v="2"/>
    <x v="2"/>
    <x v="2"/>
  </r>
  <r>
    <x v="884"/>
    <s v="Kavya Nair"/>
    <x v="0"/>
    <s v="Fever"/>
    <n v="27882"/>
    <n v="27855"/>
    <x v="0"/>
    <x v="339"/>
    <x v="62"/>
    <x v="1"/>
    <x v="5"/>
    <x v="4"/>
    <x v="9"/>
  </r>
  <r>
    <x v="885"/>
    <s v="Meena Gupta"/>
    <x v="4"/>
    <s v="Migraine"/>
    <n v="42533"/>
    <n v="0"/>
    <x v="1"/>
    <x v="77"/>
    <x v="2"/>
    <x v="1"/>
    <x v="1"/>
    <x v="2"/>
    <x v="11"/>
  </r>
  <r>
    <x v="886"/>
    <s v="Sneha Iyer"/>
    <x v="0"/>
    <s v="Fracture"/>
    <n v="10854"/>
    <n v="10464"/>
    <x v="0"/>
    <x v="221"/>
    <x v="104"/>
    <x v="0"/>
    <x v="1"/>
    <x v="5"/>
    <x v="0"/>
  </r>
  <r>
    <x v="887"/>
    <s v="Ravi Kumar"/>
    <x v="3"/>
    <s v="Covid"/>
    <n v="44508"/>
    <n v="43178"/>
    <x v="0"/>
    <x v="201"/>
    <x v="264"/>
    <x v="0"/>
    <x v="4"/>
    <x v="9"/>
    <x v="2"/>
  </r>
  <r>
    <x v="888"/>
    <s v="Sneha Iyer"/>
    <x v="4"/>
    <s v="Fracture"/>
    <n v="33063"/>
    <n v="33019"/>
    <x v="0"/>
    <x v="287"/>
    <x v="299"/>
    <x v="0"/>
    <x v="5"/>
    <x v="7"/>
    <x v="0"/>
  </r>
  <r>
    <x v="889"/>
    <s v="Arjun Singh"/>
    <x v="4"/>
    <s v="Covid"/>
    <n v="3286"/>
    <n v="2088"/>
    <x v="0"/>
    <x v="314"/>
    <x v="178"/>
    <x v="1"/>
    <x v="0"/>
    <x v="8"/>
    <x v="2"/>
  </r>
  <r>
    <x v="890"/>
    <s v="Meena Gupta"/>
    <x v="0"/>
    <s v="Infection"/>
    <n v="2516"/>
    <n v="1225"/>
    <x v="0"/>
    <x v="170"/>
    <x v="319"/>
    <x v="1"/>
    <x v="1"/>
    <x v="9"/>
    <x v="8"/>
  </r>
  <r>
    <x v="891"/>
    <s v="Arjun Singh"/>
    <x v="2"/>
    <s v="Fever"/>
    <n v="33948"/>
    <n v="32953"/>
    <x v="0"/>
    <x v="326"/>
    <x v="16"/>
    <x v="1"/>
    <x v="4"/>
    <x v="1"/>
    <x v="1"/>
  </r>
  <r>
    <x v="892"/>
    <s v="Ravi Kumar"/>
    <x v="0"/>
    <s v="Asthma"/>
    <n v="39775"/>
    <n v="38642"/>
    <x v="0"/>
    <x v="340"/>
    <x v="8"/>
    <x v="1"/>
    <x v="2"/>
    <x v="10"/>
    <x v="0"/>
  </r>
  <r>
    <x v="893"/>
    <s v="Priya Sharma"/>
    <x v="4"/>
    <s v="Infection"/>
    <n v="31381"/>
    <n v="31339"/>
    <x v="0"/>
    <x v="15"/>
    <x v="215"/>
    <x v="0"/>
    <x v="2"/>
    <x v="10"/>
    <x v="9"/>
  </r>
  <r>
    <x v="894"/>
    <s v="Rahul Verma"/>
    <x v="4"/>
    <s v="Cardiac Issue"/>
    <n v="35268"/>
    <n v="34065"/>
    <x v="0"/>
    <x v="307"/>
    <x v="207"/>
    <x v="1"/>
    <x v="4"/>
    <x v="6"/>
    <x v="8"/>
  </r>
  <r>
    <x v="895"/>
    <s v="Sneha Iyer"/>
    <x v="1"/>
    <s v="Asthma"/>
    <n v="46112"/>
    <n v="44482"/>
    <x v="0"/>
    <x v="139"/>
    <x v="109"/>
    <x v="0"/>
    <x v="3"/>
    <x v="7"/>
    <x v="5"/>
  </r>
  <r>
    <x v="896"/>
    <s v="Priya Sharma"/>
    <x v="4"/>
    <s v="Fracture"/>
    <n v="13356"/>
    <n v="13036"/>
    <x v="0"/>
    <x v="45"/>
    <x v="243"/>
    <x v="0"/>
    <x v="1"/>
    <x v="4"/>
    <x v="6"/>
  </r>
  <r>
    <x v="897"/>
    <s v="Meena Gupta"/>
    <x v="4"/>
    <s v="Migraine"/>
    <n v="17382"/>
    <n v="16242"/>
    <x v="0"/>
    <x v="262"/>
    <x v="279"/>
    <x v="1"/>
    <x v="3"/>
    <x v="5"/>
    <x v="4"/>
  </r>
  <r>
    <x v="898"/>
    <s v="Rahul Verma"/>
    <x v="5"/>
    <s v="Fracture"/>
    <n v="34995"/>
    <n v="33343"/>
    <x v="0"/>
    <x v="340"/>
    <x v="306"/>
    <x v="1"/>
    <x v="4"/>
    <x v="6"/>
    <x v="0"/>
  </r>
  <r>
    <x v="899"/>
    <s v="Rohit Das"/>
    <x v="3"/>
    <s v="Diabetes"/>
    <n v="38830"/>
    <n v="37834"/>
    <x v="0"/>
    <x v="235"/>
    <x v="294"/>
    <x v="1"/>
    <x v="1"/>
    <x v="6"/>
    <x v="2"/>
  </r>
  <r>
    <x v="900"/>
    <s v="Ravi Kumar"/>
    <x v="2"/>
    <s v="Fracture"/>
    <n v="47228"/>
    <n v="0"/>
    <x v="1"/>
    <x v="128"/>
    <x v="2"/>
    <x v="0"/>
    <x v="5"/>
    <x v="2"/>
    <x v="6"/>
  </r>
  <r>
    <x v="901"/>
    <s v="Ravi Kumar"/>
    <x v="4"/>
    <s v="Covid"/>
    <n v="9269"/>
    <n v="7669"/>
    <x v="0"/>
    <x v="100"/>
    <x v="260"/>
    <x v="0"/>
    <x v="1"/>
    <x v="1"/>
    <x v="6"/>
  </r>
  <r>
    <x v="902"/>
    <s v="Kavya Nair"/>
    <x v="0"/>
    <s v="Diabetes"/>
    <n v="12947"/>
    <n v="11164"/>
    <x v="0"/>
    <x v="186"/>
    <x v="46"/>
    <x v="0"/>
    <x v="5"/>
    <x v="6"/>
    <x v="7"/>
  </r>
  <r>
    <x v="903"/>
    <s v="Sneha Iyer"/>
    <x v="4"/>
    <s v="Covid"/>
    <n v="8507"/>
    <n v="7182"/>
    <x v="0"/>
    <x v="298"/>
    <x v="320"/>
    <x v="0"/>
    <x v="4"/>
    <x v="6"/>
    <x v="11"/>
  </r>
  <r>
    <x v="904"/>
    <s v="Kiran Patel"/>
    <x v="4"/>
    <s v="Asthma"/>
    <n v="2431"/>
    <n v="722"/>
    <x v="0"/>
    <x v="190"/>
    <x v="108"/>
    <x v="1"/>
    <x v="0"/>
    <x v="6"/>
    <x v="5"/>
  </r>
  <r>
    <x v="905"/>
    <s v="Anil Reddy"/>
    <x v="0"/>
    <s v="Migraine"/>
    <n v="26407"/>
    <n v="25669"/>
    <x v="0"/>
    <x v="289"/>
    <x v="78"/>
    <x v="0"/>
    <x v="1"/>
    <x v="8"/>
    <x v="6"/>
  </r>
  <r>
    <x v="906"/>
    <s v="Kavya Nair"/>
    <x v="1"/>
    <s v="Cardiac Issue"/>
    <n v="11043"/>
    <n v="10197"/>
    <x v="0"/>
    <x v="89"/>
    <x v="230"/>
    <x v="1"/>
    <x v="4"/>
    <x v="4"/>
    <x v="11"/>
  </r>
  <r>
    <x v="907"/>
    <s v="Arjun Singh"/>
    <x v="5"/>
    <s v="Fever"/>
    <n v="49030"/>
    <n v="0"/>
    <x v="1"/>
    <x v="5"/>
    <x v="2"/>
    <x v="0"/>
    <x v="3"/>
    <x v="2"/>
    <x v="0"/>
  </r>
  <r>
    <x v="908"/>
    <s v="Rahul Verma"/>
    <x v="1"/>
    <s v="Fracture"/>
    <n v="30447"/>
    <n v="29642"/>
    <x v="0"/>
    <x v="39"/>
    <x v="277"/>
    <x v="0"/>
    <x v="5"/>
    <x v="7"/>
    <x v="4"/>
  </r>
  <r>
    <x v="909"/>
    <s v="Kavya Nair"/>
    <x v="2"/>
    <s v="Asthma"/>
    <n v="28345"/>
    <n v="0"/>
    <x v="1"/>
    <x v="205"/>
    <x v="2"/>
    <x v="1"/>
    <x v="3"/>
    <x v="2"/>
    <x v="3"/>
  </r>
  <r>
    <x v="910"/>
    <s v="Ravi Kumar"/>
    <x v="2"/>
    <s v="Fracture"/>
    <n v="47894"/>
    <n v="46981"/>
    <x v="0"/>
    <x v="279"/>
    <x v="112"/>
    <x v="1"/>
    <x v="5"/>
    <x v="8"/>
    <x v="6"/>
  </r>
  <r>
    <x v="911"/>
    <s v="Rahul Verma"/>
    <x v="1"/>
    <s v="Cardiac Issue"/>
    <n v="21761"/>
    <n v="21686"/>
    <x v="0"/>
    <x v="69"/>
    <x v="226"/>
    <x v="1"/>
    <x v="5"/>
    <x v="6"/>
    <x v="10"/>
  </r>
  <r>
    <x v="912"/>
    <s v="Anil Reddy"/>
    <x v="2"/>
    <s v="Cardiac Issue"/>
    <n v="8083"/>
    <n v="0"/>
    <x v="1"/>
    <x v="195"/>
    <x v="2"/>
    <x v="1"/>
    <x v="0"/>
    <x v="2"/>
    <x v="10"/>
  </r>
  <r>
    <x v="913"/>
    <s v="Rahul Verma"/>
    <x v="5"/>
    <s v="Fever"/>
    <n v="3827"/>
    <n v="0"/>
    <x v="1"/>
    <x v="230"/>
    <x v="2"/>
    <x v="1"/>
    <x v="4"/>
    <x v="2"/>
    <x v="10"/>
  </r>
  <r>
    <x v="914"/>
    <s v="Sneha Iyer"/>
    <x v="1"/>
    <s v="Diabetes"/>
    <n v="49971"/>
    <n v="48248"/>
    <x v="0"/>
    <x v="136"/>
    <x v="71"/>
    <x v="1"/>
    <x v="4"/>
    <x v="10"/>
    <x v="11"/>
  </r>
  <r>
    <x v="915"/>
    <s v="Ravi Kumar"/>
    <x v="0"/>
    <s v="Covid"/>
    <n v="21527"/>
    <n v="0"/>
    <x v="1"/>
    <x v="210"/>
    <x v="2"/>
    <x v="1"/>
    <x v="3"/>
    <x v="2"/>
    <x v="4"/>
  </r>
  <r>
    <x v="916"/>
    <s v="Kiran Patel"/>
    <x v="3"/>
    <s v="Infection"/>
    <n v="21608"/>
    <n v="20243"/>
    <x v="0"/>
    <x v="215"/>
    <x v="63"/>
    <x v="1"/>
    <x v="0"/>
    <x v="7"/>
    <x v="10"/>
  </r>
  <r>
    <x v="917"/>
    <s v="Kiran Patel"/>
    <x v="0"/>
    <s v="Infection"/>
    <n v="35846"/>
    <n v="0"/>
    <x v="1"/>
    <x v="197"/>
    <x v="2"/>
    <x v="1"/>
    <x v="2"/>
    <x v="2"/>
    <x v="7"/>
  </r>
  <r>
    <x v="918"/>
    <s v="Priya Sharma"/>
    <x v="5"/>
    <s v="Asthma"/>
    <n v="29004"/>
    <n v="28816"/>
    <x v="0"/>
    <x v="188"/>
    <x v="306"/>
    <x v="0"/>
    <x v="2"/>
    <x v="9"/>
    <x v="0"/>
  </r>
  <r>
    <x v="919"/>
    <s v="Kiran Patel"/>
    <x v="4"/>
    <s v="Diabetes"/>
    <n v="26202"/>
    <n v="0"/>
    <x v="1"/>
    <x v="91"/>
    <x v="2"/>
    <x v="1"/>
    <x v="1"/>
    <x v="2"/>
    <x v="11"/>
  </r>
  <r>
    <x v="920"/>
    <s v="Sneha Iyer"/>
    <x v="4"/>
    <s v="Asthma"/>
    <n v="30841"/>
    <n v="29343"/>
    <x v="0"/>
    <x v="81"/>
    <x v="265"/>
    <x v="0"/>
    <x v="0"/>
    <x v="7"/>
    <x v="5"/>
  </r>
  <r>
    <x v="921"/>
    <s v="Anil Reddy"/>
    <x v="4"/>
    <s v="Covid"/>
    <n v="10479"/>
    <n v="0"/>
    <x v="1"/>
    <x v="135"/>
    <x v="2"/>
    <x v="0"/>
    <x v="5"/>
    <x v="2"/>
    <x v="1"/>
  </r>
  <r>
    <x v="922"/>
    <s v="Kiran Patel"/>
    <x v="4"/>
    <s v="Covid"/>
    <n v="4136"/>
    <n v="2203"/>
    <x v="0"/>
    <x v="131"/>
    <x v="114"/>
    <x v="0"/>
    <x v="0"/>
    <x v="6"/>
    <x v="10"/>
  </r>
  <r>
    <x v="923"/>
    <s v="Meena Gupta"/>
    <x v="0"/>
    <s v="Diabetes"/>
    <n v="26221"/>
    <n v="0"/>
    <x v="1"/>
    <x v="162"/>
    <x v="2"/>
    <x v="0"/>
    <x v="0"/>
    <x v="2"/>
    <x v="2"/>
  </r>
  <r>
    <x v="924"/>
    <s v="Anil Reddy"/>
    <x v="0"/>
    <s v="Infection"/>
    <n v="21983"/>
    <n v="21362"/>
    <x v="0"/>
    <x v="317"/>
    <x v="161"/>
    <x v="0"/>
    <x v="1"/>
    <x v="4"/>
    <x v="2"/>
  </r>
  <r>
    <x v="925"/>
    <s v="Anil Reddy"/>
    <x v="5"/>
    <s v="Asthma"/>
    <n v="5188"/>
    <n v="3368"/>
    <x v="0"/>
    <x v="341"/>
    <x v="314"/>
    <x v="0"/>
    <x v="1"/>
    <x v="8"/>
    <x v="2"/>
  </r>
  <r>
    <x v="926"/>
    <s v="Arjun Singh"/>
    <x v="0"/>
    <s v="Diabetes"/>
    <n v="37883"/>
    <n v="37745"/>
    <x v="0"/>
    <x v="4"/>
    <x v="321"/>
    <x v="1"/>
    <x v="0"/>
    <x v="9"/>
    <x v="4"/>
  </r>
  <r>
    <x v="927"/>
    <s v="Sneha Iyer"/>
    <x v="4"/>
    <s v="Infection"/>
    <n v="26727"/>
    <n v="25019"/>
    <x v="0"/>
    <x v="45"/>
    <x v="110"/>
    <x v="0"/>
    <x v="0"/>
    <x v="7"/>
    <x v="6"/>
  </r>
  <r>
    <x v="928"/>
    <s v="Arjun Singh"/>
    <x v="4"/>
    <s v="Covid"/>
    <n v="11763"/>
    <n v="11581"/>
    <x v="0"/>
    <x v="115"/>
    <x v="82"/>
    <x v="1"/>
    <x v="2"/>
    <x v="1"/>
    <x v="6"/>
  </r>
  <r>
    <x v="929"/>
    <s v="Kiran Patel"/>
    <x v="1"/>
    <s v="Infection"/>
    <n v="37454"/>
    <n v="35492"/>
    <x v="0"/>
    <x v="32"/>
    <x v="152"/>
    <x v="1"/>
    <x v="5"/>
    <x v="4"/>
    <x v="8"/>
  </r>
  <r>
    <x v="930"/>
    <s v="Priya Sharma"/>
    <x v="5"/>
    <s v="Fever"/>
    <n v="39486"/>
    <n v="38337"/>
    <x v="0"/>
    <x v="129"/>
    <x v="218"/>
    <x v="0"/>
    <x v="4"/>
    <x v="3"/>
    <x v="6"/>
  </r>
  <r>
    <x v="931"/>
    <s v="Rohit Das"/>
    <x v="0"/>
    <s v="Cardiac Issue"/>
    <n v="33184"/>
    <n v="0"/>
    <x v="1"/>
    <x v="124"/>
    <x v="2"/>
    <x v="0"/>
    <x v="5"/>
    <x v="2"/>
    <x v="4"/>
  </r>
  <r>
    <x v="932"/>
    <s v="Kavya Nair"/>
    <x v="5"/>
    <s v="Fever"/>
    <n v="20019"/>
    <n v="19517"/>
    <x v="0"/>
    <x v="297"/>
    <x v="146"/>
    <x v="1"/>
    <x v="4"/>
    <x v="1"/>
    <x v="8"/>
  </r>
  <r>
    <x v="933"/>
    <s v="Kavya Nair"/>
    <x v="2"/>
    <s v="Asthma"/>
    <n v="40593"/>
    <n v="39587"/>
    <x v="0"/>
    <x v="166"/>
    <x v="102"/>
    <x v="1"/>
    <x v="4"/>
    <x v="6"/>
    <x v="4"/>
  </r>
  <r>
    <x v="934"/>
    <s v="Meena Gupta"/>
    <x v="0"/>
    <s v="Infection"/>
    <n v="27035"/>
    <n v="26849"/>
    <x v="0"/>
    <x v="13"/>
    <x v="92"/>
    <x v="0"/>
    <x v="3"/>
    <x v="3"/>
    <x v="0"/>
  </r>
  <r>
    <x v="935"/>
    <s v="Anil Reddy"/>
    <x v="5"/>
    <s v="Migraine"/>
    <n v="7873"/>
    <n v="7245"/>
    <x v="0"/>
    <x v="329"/>
    <x v="59"/>
    <x v="0"/>
    <x v="0"/>
    <x v="7"/>
    <x v="11"/>
  </r>
  <r>
    <x v="936"/>
    <s v="Rahul Verma"/>
    <x v="5"/>
    <s v="Fever"/>
    <n v="48746"/>
    <n v="48136"/>
    <x v="0"/>
    <x v="60"/>
    <x v="322"/>
    <x v="1"/>
    <x v="4"/>
    <x v="3"/>
    <x v="11"/>
  </r>
  <r>
    <x v="937"/>
    <s v="Meena Gupta"/>
    <x v="2"/>
    <s v="Migraine"/>
    <n v="26609"/>
    <n v="26503"/>
    <x v="0"/>
    <x v="342"/>
    <x v="165"/>
    <x v="0"/>
    <x v="2"/>
    <x v="8"/>
    <x v="7"/>
  </r>
  <r>
    <x v="938"/>
    <s v="Kavya Nair"/>
    <x v="1"/>
    <s v="Diabetes"/>
    <n v="19648"/>
    <n v="18997"/>
    <x v="0"/>
    <x v="106"/>
    <x v="323"/>
    <x v="1"/>
    <x v="4"/>
    <x v="0"/>
    <x v="5"/>
  </r>
  <r>
    <x v="939"/>
    <s v="Arjun Singh"/>
    <x v="0"/>
    <s v="Asthma"/>
    <n v="43519"/>
    <n v="41648"/>
    <x v="0"/>
    <x v="124"/>
    <x v="81"/>
    <x v="0"/>
    <x v="4"/>
    <x v="10"/>
    <x v="4"/>
  </r>
  <r>
    <x v="940"/>
    <s v="Kavya Nair"/>
    <x v="5"/>
    <s v="Migraine"/>
    <n v="39240"/>
    <n v="38327"/>
    <x v="0"/>
    <x v="343"/>
    <x v="297"/>
    <x v="0"/>
    <x v="1"/>
    <x v="0"/>
    <x v="0"/>
  </r>
  <r>
    <x v="941"/>
    <s v="Anil Reddy"/>
    <x v="2"/>
    <s v="Fracture"/>
    <n v="18066"/>
    <n v="0"/>
    <x v="1"/>
    <x v="17"/>
    <x v="2"/>
    <x v="1"/>
    <x v="4"/>
    <x v="2"/>
    <x v="5"/>
  </r>
  <r>
    <x v="942"/>
    <s v="Ravi Kumar"/>
    <x v="4"/>
    <s v="Migraine"/>
    <n v="44798"/>
    <n v="44797"/>
    <x v="0"/>
    <x v="163"/>
    <x v="306"/>
    <x v="1"/>
    <x v="0"/>
    <x v="4"/>
    <x v="4"/>
  </r>
  <r>
    <x v="943"/>
    <s v="Sneha Iyer"/>
    <x v="1"/>
    <s v="Infection"/>
    <n v="43432"/>
    <n v="42234"/>
    <x v="0"/>
    <x v="255"/>
    <x v="247"/>
    <x v="0"/>
    <x v="4"/>
    <x v="10"/>
    <x v="1"/>
  </r>
  <r>
    <x v="944"/>
    <s v="Kavya Nair"/>
    <x v="0"/>
    <s v="Migraine"/>
    <n v="7879"/>
    <n v="6449"/>
    <x v="0"/>
    <x v="55"/>
    <x v="103"/>
    <x v="1"/>
    <x v="2"/>
    <x v="7"/>
    <x v="9"/>
  </r>
  <r>
    <x v="945"/>
    <s v="Kiran Patel"/>
    <x v="2"/>
    <s v="Infection"/>
    <n v="43626"/>
    <n v="42085"/>
    <x v="0"/>
    <x v="207"/>
    <x v="238"/>
    <x v="1"/>
    <x v="4"/>
    <x v="4"/>
    <x v="8"/>
  </r>
  <r>
    <x v="946"/>
    <s v="Rahul Verma"/>
    <x v="2"/>
    <s v="Cardiac Issue"/>
    <n v="32133"/>
    <n v="0"/>
    <x v="1"/>
    <x v="306"/>
    <x v="2"/>
    <x v="0"/>
    <x v="5"/>
    <x v="2"/>
    <x v="3"/>
  </r>
  <r>
    <x v="947"/>
    <s v="Anil Reddy"/>
    <x v="0"/>
    <s v="Covid"/>
    <n v="2280"/>
    <n v="903"/>
    <x v="0"/>
    <x v="253"/>
    <x v="62"/>
    <x v="1"/>
    <x v="1"/>
    <x v="9"/>
    <x v="9"/>
  </r>
  <r>
    <x v="948"/>
    <s v="Meena Gupta"/>
    <x v="0"/>
    <s v="Diabetes"/>
    <n v="37300"/>
    <n v="35473"/>
    <x v="0"/>
    <x v="32"/>
    <x v="152"/>
    <x v="0"/>
    <x v="3"/>
    <x v="4"/>
    <x v="8"/>
  </r>
  <r>
    <x v="949"/>
    <s v="Meena Gupta"/>
    <x v="2"/>
    <s v="Asthma"/>
    <n v="13612"/>
    <n v="13357"/>
    <x v="0"/>
    <x v="24"/>
    <x v="85"/>
    <x v="0"/>
    <x v="2"/>
    <x v="6"/>
    <x v="5"/>
  </r>
  <r>
    <x v="950"/>
    <s v="Ravi Kumar"/>
    <x v="3"/>
    <s v="Fever"/>
    <n v="20424"/>
    <n v="20032"/>
    <x v="0"/>
    <x v="328"/>
    <x v="179"/>
    <x v="1"/>
    <x v="1"/>
    <x v="1"/>
    <x v="0"/>
  </r>
  <r>
    <x v="951"/>
    <s v="Kiran Patel"/>
    <x v="3"/>
    <s v="Covid"/>
    <n v="25789"/>
    <n v="25215"/>
    <x v="0"/>
    <x v="229"/>
    <x v="174"/>
    <x v="0"/>
    <x v="4"/>
    <x v="1"/>
    <x v="1"/>
  </r>
  <r>
    <x v="952"/>
    <s v="Kiran Patel"/>
    <x v="1"/>
    <s v="Diabetes"/>
    <n v="20176"/>
    <n v="0"/>
    <x v="1"/>
    <x v="334"/>
    <x v="2"/>
    <x v="1"/>
    <x v="4"/>
    <x v="2"/>
    <x v="1"/>
  </r>
  <r>
    <x v="953"/>
    <s v="Kavya Nair"/>
    <x v="3"/>
    <s v="Fracture"/>
    <n v="6283"/>
    <n v="0"/>
    <x v="1"/>
    <x v="48"/>
    <x v="2"/>
    <x v="0"/>
    <x v="4"/>
    <x v="2"/>
    <x v="9"/>
  </r>
  <r>
    <x v="954"/>
    <s v="Sneha Iyer"/>
    <x v="3"/>
    <s v="Migraine"/>
    <n v="14573"/>
    <n v="12587"/>
    <x v="0"/>
    <x v="98"/>
    <x v="211"/>
    <x v="1"/>
    <x v="5"/>
    <x v="0"/>
    <x v="8"/>
  </r>
  <r>
    <x v="955"/>
    <s v="Kavya Nair"/>
    <x v="4"/>
    <s v="Fever"/>
    <n v="29991"/>
    <n v="28243"/>
    <x v="0"/>
    <x v="310"/>
    <x v="45"/>
    <x v="1"/>
    <x v="3"/>
    <x v="9"/>
    <x v="3"/>
  </r>
  <r>
    <x v="956"/>
    <s v="Priya Sharma"/>
    <x v="4"/>
    <s v="Covid"/>
    <n v="25689"/>
    <n v="0"/>
    <x v="1"/>
    <x v="4"/>
    <x v="2"/>
    <x v="0"/>
    <x v="4"/>
    <x v="2"/>
    <x v="4"/>
  </r>
  <r>
    <x v="957"/>
    <s v="Sneha Iyer"/>
    <x v="1"/>
    <s v="Covid"/>
    <n v="22725"/>
    <n v="21923"/>
    <x v="0"/>
    <x v="53"/>
    <x v="135"/>
    <x v="0"/>
    <x v="0"/>
    <x v="6"/>
    <x v="7"/>
  </r>
  <r>
    <x v="958"/>
    <s v="Ravi Kumar"/>
    <x v="3"/>
    <s v="Asthma"/>
    <n v="6878"/>
    <n v="6475"/>
    <x v="0"/>
    <x v="266"/>
    <x v="324"/>
    <x v="1"/>
    <x v="4"/>
    <x v="6"/>
    <x v="9"/>
  </r>
  <r>
    <x v="959"/>
    <s v="Priya Sharma"/>
    <x v="0"/>
    <s v="Covid"/>
    <n v="30308"/>
    <n v="29095"/>
    <x v="0"/>
    <x v="305"/>
    <x v="78"/>
    <x v="1"/>
    <x v="4"/>
    <x v="6"/>
    <x v="6"/>
  </r>
  <r>
    <x v="960"/>
    <s v="Priya Sharma"/>
    <x v="4"/>
    <s v="Cardiac Issue"/>
    <n v="24334"/>
    <n v="22652"/>
    <x v="0"/>
    <x v="125"/>
    <x v="48"/>
    <x v="0"/>
    <x v="4"/>
    <x v="0"/>
    <x v="3"/>
  </r>
  <r>
    <x v="961"/>
    <s v="Rohit Das"/>
    <x v="4"/>
    <s v="Diabetes"/>
    <n v="42982"/>
    <n v="41797"/>
    <x v="0"/>
    <x v="47"/>
    <x v="103"/>
    <x v="0"/>
    <x v="4"/>
    <x v="3"/>
    <x v="9"/>
  </r>
  <r>
    <x v="962"/>
    <s v="Meena Gupta"/>
    <x v="2"/>
    <s v="Diabetes"/>
    <n v="10358"/>
    <n v="8476"/>
    <x v="0"/>
    <x v="121"/>
    <x v="54"/>
    <x v="1"/>
    <x v="0"/>
    <x v="5"/>
    <x v="5"/>
  </r>
  <r>
    <x v="963"/>
    <s v="Meena Gupta"/>
    <x v="0"/>
    <s v="Diabetes"/>
    <n v="46404"/>
    <n v="45259"/>
    <x v="0"/>
    <x v="37"/>
    <x v="235"/>
    <x v="1"/>
    <x v="2"/>
    <x v="10"/>
    <x v="4"/>
  </r>
  <r>
    <x v="964"/>
    <s v="Priya Sharma"/>
    <x v="1"/>
    <s v="Cardiac Issue"/>
    <n v="41293"/>
    <n v="0"/>
    <x v="1"/>
    <x v="226"/>
    <x v="2"/>
    <x v="1"/>
    <x v="2"/>
    <x v="2"/>
    <x v="4"/>
  </r>
  <r>
    <x v="965"/>
    <s v="Arjun Singh"/>
    <x v="1"/>
    <s v="Diabetes"/>
    <n v="24257"/>
    <n v="23328"/>
    <x v="0"/>
    <x v="18"/>
    <x v="309"/>
    <x v="0"/>
    <x v="4"/>
    <x v="6"/>
    <x v="1"/>
  </r>
  <r>
    <x v="966"/>
    <s v="Priya Sharma"/>
    <x v="0"/>
    <s v="Diabetes"/>
    <n v="40855"/>
    <n v="39003"/>
    <x v="0"/>
    <x v="215"/>
    <x v="63"/>
    <x v="1"/>
    <x v="3"/>
    <x v="7"/>
    <x v="10"/>
  </r>
  <r>
    <x v="967"/>
    <s v="Meena Gupta"/>
    <x v="4"/>
    <s v="Covid"/>
    <n v="14184"/>
    <n v="13903"/>
    <x v="0"/>
    <x v="4"/>
    <x v="298"/>
    <x v="0"/>
    <x v="3"/>
    <x v="5"/>
    <x v="4"/>
  </r>
  <r>
    <x v="968"/>
    <s v="Rohit Das"/>
    <x v="1"/>
    <s v="Infection"/>
    <n v="22394"/>
    <n v="0"/>
    <x v="1"/>
    <x v="28"/>
    <x v="2"/>
    <x v="0"/>
    <x v="4"/>
    <x v="2"/>
    <x v="10"/>
  </r>
  <r>
    <x v="969"/>
    <s v="Arjun Singh"/>
    <x v="2"/>
    <s v="Infection"/>
    <n v="21075"/>
    <n v="19088"/>
    <x v="0"/>
    <x v="103"/>
    <x v="144"/>
    <x v="0"/>
    <x v="4"/>
    <x v="0"/>
    <x v="4"/>
  </r>
  <r>
    <x v="970"/>
    <s v="Kiran Patel"/>
    <x v="0"/>
    <s v="Asthma"/>
    <n v="24532"/>
    <n v="22533"/>
    <x v="0"/>
    <x v="155"/>
    <x v="259"/>
    <x v="0"/>
    <x v="3"/>
    <x v="8"/>
    <x v="7"/>
  </r>
  <r>
    <x v="971"/>
    <s v="Kiran Patel"/>
    <x v="4"/>
    <s v="Covid"/>
    <n v="41306"/>
    <n v="39562"/>
    <x v="0"/>
    <x v="104"/>
    <x v="280"/>
    <x v="1"/>
    <x v="0"/>
    <x v="1"/>
    <x v="10"/>
  </r>
  <r>
    <x v="972"/>
    <s v="Sneha Iyer"/>
    <x v="1"/>
    <s v="Infection"/>
    <n v="12635"/>
    <n v="11705"/>
    <x v="0"/>
    <x v="176"/>
    <x v="321"/>
    <x v="0"/>
    <x v="4"/>
    <x v="4"/>
    <x v="4"/>
  </r>
  <r>
    <x v="973"/>
    <s v="Kiran Patel"/>
    <x v="3"/>
    <s v="Covid"/>
    <n v="42889"/>
    <n v="42400"/>
    <x v="0"/>
    <x v="278"/>
    <x v="325"/>
    <x v="1"/>
    <x v="4"/>
    <x v="6"/>
    <x v="1"/>
  </r>
  <r>
    <x v="974"/>
    <s v="Meena Gupta"/>
    <x v="5"/>
    <s v="Fever"/>
    <n v="25777"/>
    <n v="25626"/>
    <x v="0"/>
    <x v="40"/>
    <x v="232"/>
    <x v="0"/>
    <x v="4"/>
    <x v="5"/>
    <x v="11"/>
  </r>
  <r>
    <x v="975"/>
    <s v="Sneha Iyer"/>
    <x v="4"/>
    <s v="Cardiac Issue"/>
    <n v="43375"/>
    <n v="0"/>
    <x v="1"/>
    <x v="77"/>
    <x v="2"/>
    <x v="0"/>
    <x v="4"/>
    <x v="2"/>
    <x v="11"/>
  </r>
  <r>
    <x v="976"/>
    <s v="Kiran Patel"/>
    <x v="3"/>
    <s v="Migraine"/>
    <n v="13412"/>
    <n v="11599"/>
    <x v="0"/>
    <x v="38"/>
    <x v="30"/>
    <x v="1"/>
    <x v="1"/>
    <x v="7"/>
    <x v="2"/>
  </r>
  <r>
    <x v="977"/>
    <s v="Kavya Nair"/>
    <x v="3"/>
    <s v="Fracture"/>
    <n v="14844"/>
    <n v="14484"/>
    <x v="0"/>
    <x v="38"/>
    <x v="326"/>
    <x v="0"/>
    <x v="1"/>
    <x v="3"/>
    <x v="2"/>
  </r>
  <r>
    <x v="978"/>
    <s v="Anil Reddy"/>
    <x v="1"/>
    <s v="Diabetes"/>
    <n v="24176"/>
    <n v="23552"/>
    <x v="0"/>
    <x v="97"/>
    <x v="242"/>
    <x v="1"/>
    <x v="1"/>
    <x v="8"/>
    <x v="5"/>
  </r>
  <r>
    <x v="979"/>
    <s v="Rahul Verma"/>
    <x v="5"/>
    <s v="Asthma"/>
    <n v="48592"/>
    <n v="48350"/>
    <x v="0"/>
    <x v="164"/>
    <x v="159"/>
    <x v="0"/>
    <x v="4"/>
    <x v="7"/>
    <x v="9"/>
  </r>
  <r>
    <x v="980"/>
    <s v="Kavya Nair"/>
    <x v="1"/>
    <s v="Infection"/>
    <n v="22837"/>
    <n v="0"/>
    <x v="1"/>
    <x v="67"/>
    <x v="2"/>
    <x v="0"/>
    <x v="4"/>
    <x v="2"/>
    <x v="5"/>
  </r>
  <r>
    <x v="981"/>
    <s v="Rohit Das"/>
    <x v="3"/>
    <s v="Migraine"/>
    <n v="11736"/>
    <n v="11230"/>
    <x v="0"/>
    <x v="258"/>
    <x v="275"/>
    <x v="0"/>
    <x v="1"/>
    <x v="10"/>
    <x v="4"/>
  </r>
  <r>
    <x v="982"/>
    <s v="Kavya Nair"/>
    <x v="4"/>
    <s v="Cardiac Issue"/>
    <n v="49664"/>
    <n v="48058"/>
    <x v="0"/>
    <x v="126"/>
    <x v="327"/>
    <x v="0"/>
    <x v="4"/>
    <x v="1"/>
    <x v="5"/>
  </r>
  <r>
    <x v="983"/>
    <s v="Kavya Nair"/>
    <x v="1"/>
    <s v="Infection"/>
    <n v="34675"/>
    <n v="0"/>
    <x v="1"/>
    <x v="106"/>
    <x v="2"/>
    <x v="0"/>
    <x v="3"/>
    <x v="2"/>
    <x v="5"/>
  </r>
  <r>
    <x v="984"/>
    <s v="Rahul Verma"/>
    <x v="4"/>
    <s v="Covid"/>
    <n v="33048"/>
    <n v="31858"/>
    <x v="0"/>
    <x v="26"/>
    <x v="69"/>
    <x v="0"/>
    <x v="4"/>
    <x v="1"/>
    <x v="11"/>
  </r>
  <r>
    <x v="985"/>
    <s v="Kiran Patel"/>
    <x v="3"/>
    <s v="Covid"/>
    <n v="17360"/>
    <n v="16913"/>
    <x v="0"/>
    <x v="43"/>
    <x v="328"/>
    <x v="1"/>
    <x v="0"/>
    <x v="9"/>
    <x v="3"/>
  </r>
  <r>
    <x v="986"/>
    <s v="Anil Reddy"/>
    <x v="2"/>
    <s v="Migraine"/>
    <n v="38080"/>
    <n v="37805"/>
    <x v="0"/>
    <x v="203"/>
    <x v="303"/>
    <x v="1"/>
    <x v="0"/>
    <x v="10"/>
    <x v="0"/>
  </r>
  <r>
    <x v="987"/>
    <s v="Rahul Verma"/>
    <x v="3"/>
    <s v="Fever"/>
    <n v="32490"/>
    <n v="0"/>
    <x v="1"/>
    <x v="344"/>
    <x v="2"/>
    <x v="1"/>
    <x v="2"/>
    <x v="2"/>
    <x v="6"/>
  </r>
  <r>
    <x v="988"/>
    <s v="Arjun Singh"/>
    <x v="4"/>
    <s v="Asthma"/>
    <n v="28801"/>
    <n v="27154"/>
    <x v="0"/>
    <x v="331"/>
    <x v="292"/>
    <x v="1"/>
    <x v="2"/>
    <x v="6"/>
    <x v="1"/>
  </r>
  <r>
    <x v="989"/>
    <s v="Ravi Kumar"/>
    <x v="5"/>
    <s v="Covid"/>
    <n v="17321"/>
    <n v="16000"/>
    <x v="0"/>
    <x v="345"/>
    <x v="15"/>
    <x v="0"/>
    <x v="3"/>
    <x v="6"/>
    <x v="0"/>
  </r>
  <r>
    <x v="990"/>
    <s v="Kavya Nair"/>
    <x v="0"/>
    <s v="Migraine"/>
    <n v="16925"/>
    <n v="16683"/>
    <x v="0"/>
    <x v="346"/>
    <x v="134"/>
    <x v="0"/>
    <x v="0"/>
    <x v="6"/>
    <x v="0"/>
  </r>
  <r>
    <x v="991"/>
    <s v="Kiran Patel"/>
    <x v="2"/>
    <s v="Cardiac Issue"/>
    <n v="46243"/>
    <n v="45731"/>
    <x v="0"/>
    <x v="204"/>
    <x v="182"/>
    <x v="0"/>
    <x v="5"/>
    <x v="10"/>
    <x v="3"/>
  </r>
  <r>
    <x v="992"/>
    <s v="Rohit Das"/>
    <x v="5"/>
    <s v="Migraine"/>
    <n v="2559"/>
    <n v="1982"/>
    <x v="0"/>
    <x v="185"/>
    <x v="232"/>
    <x v="1"/>
    <x v="1"/>
    <x v="9"/>
    <x v="3"/>
  </r>
  <r>
    <x v="993"/>
    <s v="Rohit Das"/>
    <x v="0"/>
    <s v="Covid"/>
    <n v="44866"/>
    <n v="0"/>
    <x v="1"/>
    <x v="140"/>
    <x v="2"/>
    <x v="1"/>
    <x v="4"/>
    <x v="2"/>
    <x v="9"/>
  </r>
  <r>
    <x v="994"/>
    <s v="Kiran Patel"/>
    <x v="3"/>
    <s v="Covid"/>
    <n v="17317"/>
    <n v="0"/>
    <x v="1"/>
    <x v="277"/>
    <x v="2"/>
    <x v="1"/>
    <x v="5"/>
    <x v="2"/>
    <x v="10"/>
  </r>
  <r>
    <x v="995"/>
    <s v="Arjun Singh"/>
    <x v="2"/>
    <s v="Diabetes"/>
    <n v="22517"/>
    <n v="21639"/>
    <x v="0"/>
    <x v="196"/>
    <x v="199"/>
    <x v="0"/>
    <x v="2"/>
    <x v="9"/>
    <x v="8"/>
  </r>
  <r>
    <x v="996"/>
    <s v="Arjun Singh"/>
    <x v="0"/>
    <s v="Infection"/>
    <n v="11106"/>
    <n v="0"/>
    <x v="1"/>
    <x v="48"/>
    <x v="2"/>
    <x v="1"/>
    <x v="5"/>
    <x v="2"/>
    <x v="9"/>
  </r>
  <r>
    <x v="997"/>
    <s v="Ravi Kumar"/>
    <x v="4"/>
    <s v="Infection"/>
    <n v="24270"/>
    <n v="23412"/>
    <x v="0"/>
    <x v="324"/>
    <x v="124"/>
    <x v="1"/>
    <x v="3"/>
    <x v="9"/>
    <x v="5"/>
  </r>
  <r>
    <x v="998"/>
    <s v="Rohit Das"/>
    <x v="0"/>
    <s v="Fever"/>
    <n v="11118"/>
    <n v="9167"/>
    <x v="0"/>
    <x v="236"/>
    <x v="48"/>
    <x v="1"/>
    <x v="2"/>
    <x v="1"/>
    <x v="3"/>
  </r>
  <r>
    <x v="999"/>
    <s v="Kiran Patel"/>
    <x v="1"/>
    <s v="Diabetes"/>
    <n v="37028"/>
    <n v="36643"/>
    <x v="0"/>
    <x v="199"/>
    <x v="316"/>
    <x v="1"/>
    <x v="0"/>
    <x v="3"/>
    <x v="5"/>
  </r>
  <r>
    <x v="1000"/>
    <s v="Arjun Singh"/>
    <x v="2"/>
    <s v="Diabetes"/>
    <n v="13234"/>
    <n v="11852"/>
    <x v="0"/>
    <x v="19"/>
    <x v="145"/>
    <x v="0"/>
    <x v="1"/>
    <x v="7"/>
    <x v="10"/>
  </r>
  <r>
    <x v="1001"/>
    <s v="Rohit Das"/>
    <x v="4"/>
    <s v="Fever"/>
    <n v="14235"/>
    <n v="14093"/>
    <x v="0"/>
    <x v="323"/>
    <x v="329"/>
    <x v="0"/>
    <x v="4"/>
    <x v="10"/>
    <x v="11"/>
  </r>
  <r>
    <x v="1002"/>
    <s v="Sneha Iyer"/>
    <x v="0"/>
    <s v="Covid"/>
    <n v="5765"/>
    <n v="4704"/>
    <x v="0"/>
    <x v="226"/>
    <x v="201"/>
    <x v="1"/>
    <x v="1"/>
    <x v="7"/>
    <x v="4"/>
  </r>
  <r>
    <x v="1003"/>
    <s v="Meena Gupta"/>
    <x v="1"/>
    <s v="Fracture"/>
    <n v="9257"/>
    <n v="8159"/>
    <x v="0"/>
    <x v="141"/>
    <x v="47"/>
    <x v="0"/>
    <x v="2"/>
    <x v="4"/>
    <x v="5"/>
  </r>
  <r>
    <x v="1004"/>
    <s v="Kiran Patel"/>
    <x v="5"/>
    <s v="Cardiac Issue"/>
    <n v="22300"/>
    <n v="20625"/>
    <x v="0"/>
    <x v="159"/>
    <x v="146"/>
    <x v="0"/>
    <x v="0"/>
    <x v="4"/>
    <x v="8"/>
  </r>
  <r>
    <x v="1005"/>
    <s v="Rohit Das"/>
    <x v="2"/>
    <s v="Cardiac Issue"/>
    <n v="34930"/>
    <n v="34366"/>
    <x v="0"/>
    <x v="342"/>
    <x v="330"/>
    <x v="0"/>
    <x v="2"/>
    <x v="5"/>
    <x v="7"/>
  </r>
  <r>
    <x v="1006"/>
    <s v="Priya Sharma"/>
    <x v="1"/>
    <s v="Cardiac Issue"/>
    <n v="36462"/>
    <n v="34598"/>
    <x v="0"/>
    <x v="86"/>
    <x v="273"/>
    <x v="1"/>
    <x v="2"/>
    <x v="4"/>
    <x v="10"/>
  </r>
  <r>
    <x v="1007"/>
    <s v="Rohit Das"/>
    <x v="0"/>
    <s v="Diabetes"/>
    <n v="20868"/>
    <n v="20158"/>
    <x v="0"/>
    <x v="183"/>
    <x v="211"/>
    <x v="1"/>
    <x v="0"/>
    <x v="10"/>
    <x v="8"/>
  </r>
  <r>
    <x v="1008"/>
    <s v="Anil Reddy"/>
    <x v="1"/>
    <s v="Cardiac Issue"/>
    <n v="13768"/>
    <n v="0"/>
    <x v="1"/>
    <x v="68"/>
    <x v="2"/>
    <x v="1"/>
    <x v="2"/>
    <x v="2"/>
    <x v="5"/>
  </r>
  <r>
    <x v="1009"/>
    <s v="Anil Reddy"/>
    <x v="0"/>
    <s v="Asthma"/>
    <n v="47786"/>
    <n v="47296"/>
    <x v="0"/>
    <x v="296"/>
    <x v="123"/>
    <x v="1"/>
    <x v="5"/>
    <x v="10"/>
    <x v="9"/>
  </r>
  <r>
    <x v="1010"/>
    <s v="Priya Sharma"/>
    <x v="3"/>
    <s v="Covid"/>
    <n v="28953"/>
    <n v="0"/>
    <x v="1"/>
    <x v="55"/>
    <x v="2"/>
    <x v="1"/>
    <x v="4"/>
    <x v="2"/>
    <x v="9"/>
  </r>
  <r>
    <x v="1011"/>
    <s v="Priya Sharma"/>
    <x v="2"/>
    <s v="Asthma"/>
    <n v="31552"/>
    <n v="31035"/>
    <x v="0"/>
    <x v="200"/>
    <x v="122"/>
    <x v="0"/>
    <x v="2"/>
    <x v="0"/>
    <x v="7"/>
  </r>
  <r>
    <x v="1012"/>
    <s v="Ravi Kumar"/>
    <x v="0"/>
    <s v="Covid"/>
    <n v="26979"/>
    <n v="25452"/>
    <x v="0"/>
    <x v="347"/>
    <x v="89"/>
    <x v="1"/>
    <x v="4"/>
    <x v="8"/>
    <x v="11"/>
  </r>
  <r>
    <x v="1013"/>
    <s v="Ravi Kumar"/>
    <x v="2"/>
    <s v="Diabetes"/>
    <n v="48471"/>
    <n v="47802"/>
    <x v="0"/>
    <x v="32"/>
    <x v="152"/>
    <x v="1"/>
    <x v="2"/>
    <x v="4"/>
    <x v="8"/>
  </r>
  <r>
    <x v="1014"/>
    <s v="Priya Sharma"/>
    <x v="0"/>
    <s v="Cardiac Issue"/>
    <n v="48765"/>
    <n v="48478"/>
    <x v="0"/>
    <x v="139"/>
    <x v="323"/>
    <x v="0"/>
    <x v="4"/>
    <x v="10"/>
    <x v="5"/>
  </r>
  <r>
    <x v="1015"/>
    <s v="Ravi Kumar"/>
    <x v="0"/>
    <s v="Fracture"/>
    <n v="21277"/>
    <n v="20183"/>
    <x v="0"/>
    <x v="313"/>
    <x v="289"/>
    <x v="0"/>
    <x v="5"/>
    <x v="7"/>
    <x v="11"/>
  </r>
  <r>
    <x v="1016"/>
    <s v="Ravi Kumar"/>
    <x v="2"/>
    <s v="Fracture"/>
    <n v="30878"/>
    <n v="30514"/>
    <x v="0"/>
    <x v="76"/>
    <x v="46"/>
    <x v="0"/>
    <x v="2"/>
    <x v="5"/>
    <x v="7"/>
  </r>
  <r>
    <x v="1017"/>
    <s v="Ravi Kumar"/>
    <x v="0"/>
    <s v="Asthma"/>
    <n v="47242"/>
    <n v="46333"/>
    <x v="0"/>
    <x v="37"/>
    <x v="5"/>
    <x v="0"/>
    <x v="4"/>
    <x v="1"/>
    <x v="4"/>
  </r>
  <r>
    <x v="1018"/>
    <s v="Meena Gupta"/>
    <x v="3"/>
    <s v="Cardiac Issue"/>
    <n v="26552"/>
    <n v="26143"/>
    <x v="0"/>
    <x v="328"/>
    <x v="195"/>
    <x v="1"/>
    <x v="4"/>
    <x v="5"/>
    <x v="0"/>
  </r>
  <r>
    <x v="1019"/>
    <s v="Ravi Kumar"/>
    <x v="2"/>
    <s v="Cardiac Issue"/>
    <n v="46561"/>
    <n v="46110"/>
    <x v="0"/>
    <x v="107"/>
    <x v="181"/>
    <x v="0"/>
    <x v="4"/>
    <x v="7"/>
    <x v="0"/>
  </r>
  <r>
    <x v="1020"/>
    <s v="Meena Gupta"/>
    <x v="0"/>
    <s v="Infection"/>
    <n v="23147"/>
    <n v="0"/>
    <x v="1"/>
    <x v="305"/>
    <x v="2"/>
    <x v="0"/>
    <x v="0"/>
    <x v="2"/>
    <x v="6"/>
  </r>
  <r>
    <x v="1021"/>
    <s v="Kiran Patel"/>
    <x v="1"/>
    <s v="Asthma"/>
    <n v="9917"/>
    <n v="9480"/>
    <x v="0"/>
    <x v="54"/>
    <x v="92"/>
    <x v="1"/>
    <x v="4"/>
    <x v="6"/>
    <x v="0"/>
  </r>
  <r>
    <x v="1022"/>
    <s v="Ravi Kumar"/>
    <x v="1"/>
    <s v="Infection"/>
    <n v="2785"/>
    <n v="2350"/>
    <x v="0"/>
    <x v="147"/>
    <x v="6"/>
    <x v="0"/>
    <x v="5"/>
    <x v="8"/>
    <x v="5"/>
  </r>
  <r>
    <x v="1023"/>
    <s v="Sneha Iyer"/>
    <x v="2"/>
    <s v="Fever"/>
    <n v="6412"/>
    <n v="5571"/>
    <x v="0"/>
    <x v="204"/>
    <x v="227"/>
    <x v="1"/>
    <x v="4"/>
    <x v="1"/>
    <x v="3"/>
  </r>
  <r>
    <x v="1024"/>
    <s v="Kavya Nair"/>
    <x v="5"/>
    <s v="Migraine"/>
    <n v="8209"/>
    <n v="0"/>
    <x v="1"/>
    <x v="71"/>
    <x v="2"/>
    <x v="1"/>
    <x v="5"/>
    <x v="2"/>
    <x v="3"/>
  </r>
  <r>
    <x v="1025"/>
    <s v="Anil Reddy"/>
    <x v="2"/>
    <s v="Fracture"/>
    <n v="43638"/>
    <n v="41895"/>
    <x v="0"/>
    <x v="295"/>
    <x v="42"/>
    <x v="0"/>
    <x v="3"/>
    <x v="4"/>
    <x v="8"/>
  </r>
  <r>
    <x v="1026"/>
    <s v="Ravi Kumar"/>
    <x v="4"/>
    <s v="Asthma"/>
    <n v="35490"/>
    <n v="34459"/>
    <x v="0"/>
    <x v="277"/>
    <x v="143"/>
    <x v="0"/>
    <x v="4"/>
    <x v="5"/>
    <x v="10"/>
  </r>
  <r>
    <x v="1027"/>
    <s v="Rohit Das"/>
    <x v="0"/>
    <s v="Migraine"/>
    <n v="17492"/>
    <n v="15942"/>
    <x v="0"/>
    <x v="314"/>
    <x v="156"/>
    <x v="0"/>
    <x v="4"/>
    <x v="1"/>
    <x v="2"/>
  </r>
  <r>
    <x v="1028"/>
    <s v="Anil Reddy"/>
    <x v="2"/>
    <s v="Covid"/>
    <n v="21438"/>
    <n v="21128"/>
    <x v="0"/>
    <x v="133"/>
    <x v="302"/>
    <x v="0"/>
    <x v="4"/>
    <x v="8"/>
    <x v="11"/>
  </r>
  <r>
    <x v="1029"/>
    <s v="Rohit Das"/>
    <x v="4"/>
    <s v="Infection"/>
    <n v="10799"/>
    <n v="10149"/>
    <x v="0"/>
    <x v="279"/>
    <x v="331"/>
    <x v="1"/>
    <x v="5"/>
    <x v="5"/>
    <x v="6"/>
  </r>
  <r>
    <x v="1030"/>
    <s v="Sneha Iyer"/>
    <x v="0"/>
    <s v="Cardiac Issue"/>
    <n v="23710"/>
    <n v="23214"/>
    <x v="0"/>
    <x v="186"/>
    <x v="262"/>
    <x v="0"/>
    <x v="5"/>
    <x v="0"/>
    <x v="7"/>
  </r>
  <r>
    <x v="1031"/>
    <s v="Kiran Patel"/>
    <x v="3"/>
    <s v="Asthma"/>
    <n v="36175"/>
    <n v="35800"/>
    <x v="0"/>
    <x v="121"/>
    <x v="54"/>
    <x v="0"/>
    <x v="1"/>
    <x v="5"/>
    <x v="5"/>
  </r>
  <r>
    <x v="1032"/>
    <s v="Arjun Singh"/>
    <x v="0"/>
    <s v="Cardiac Issue"/>
    <n v="5414"/>
    <n v="3493"/>
    <x v="0"/>
    <x v="336"/>
    <x v="165"/>
    <x v="0"/>
    <x v="4"/>
    <x v="7"/>
    <x v="7"/>
  </r>
  <r>
    <x v="1033"/>
    <s v="Rohit Das"/>
    <x v="3"/>
    <s v="Cardiac Issue"/>
    <n v="35254"/>
    <n v="34382"/>
    <x v="0"/>
    <x v="178"/>
    <x v="109"/>
    <x v="0"/>
    <x v="5"/>
    <x v="10"/>
    <x v="5"/>
  </r>
  <r>
    <x v="1034"/>
    <s v="Kiran Patel"/>
    <x v="3"/>
    <s v="Asthma"/>
    <n v="13562"/>
    <n v="0"/>
    <x v="1"/>
    <x v="348"/>
    <x v="2"/>
    <x v="1"/>
    <x v="3"/>
    <x v="2"/>
    <x v="2"/>
  </r>
  <r>
    <x v="1035"/>
    <s v="Rohit Das"/>
    <x v="4"/>
    <s v="Cardiac Issue"/>
    <n v="19816"/>
    <n v="19653"/>
    <x v="0"/>
    <x v="77"/>
    <x v="177"/>
    <x v="1"/>
    <x v="4"/>
    <x v="9"/>
    <x v="11"/>
  </r>
  <r>
    <x v="1036"/>
    <s v="Arjun Singh"/>
    <x v="4"/>
    <s v="Asthma"/>
    <n v="35114"/>
    <n v="0"/>
    <x v="1"/>
    <x v="68"/>
    <x v="2"/>
    <x v="0"/>
    <x v="1"/>
    <x v="2"/>
    <x v="5"/>
  </r>
  <r>
    <x v="1037"/>
    <s v="Arjun Singh"/>
    <x v="0"/>
    <s v="Asthma"/>
    <n v="30009"/>
    <n v="28455"/>
    <x v="0"/>
    <x v="35"/>
    <x v="328"/>
    <x v="0"/>
    <x v="0"/>
    <x v="1"/>
    <x v="3"/>
  </r>
  <r>
    <x v="1038"/>
    <s v="Anil Reddy"/>
    <x v="2"/>
    <s v="Asthma"/>
    <n v="32385"/>
    <n v="31457"/>
    <x v="0"/>
    <x v="341"/>
    <x v="61"/>
    <x v="1"/>
    <x v="4"/>
    <x v="9"/>
    <x v="2"/>
  </r>
  <r>
    <x v="1039"/>
    <s v="Rahul Verma"/>
    <x v="5"/>
    <s v="Covid"/>
    <n v="14826"/>
    <n v="12950"/>
    <x v="0"/>
    <x v="349"/>
    <x v="222"/>
    <x v="0"/>
    <x v="1"/>
    <x v="5"/>
    <x v="7"/>
  </r>
  <r>
    <x v="1040"/>
    <s v="Kavya Nair"/>
    <x v="2"/>
    <s v="Covid"/>
    <n v="28512"/>
    <n v="26587"/>
    <x v="0"/>
    <x v="301"/>
    <x v="89"/>
    <x v="1"/>
    <x v="2"/>
    <x v="6"/>
    <x v="11"/>
  </r>
  <r>
    <x v="1041"/>
    <s v="Sneha Iyer"/>
    <x v="0"/>
    <s v="Asthma"/>
    <n v="4544"/>
    <n v="3756"/>
    <x v="0"/>
    <x v="31"/>
    <x v="114"/>
    <x v="0"/>
    <x v="1"/>
    <x v="7"/>
    <x v="10"/>
  </r>
  <r>
    <x v="1042"/>
    <s v="Meena Gupta"/>
    <x v="2"/>
    <s v="Infection"/>
    <n v="35397"/>
    <n v="34097"/>
    <x v="0"/>
    <x v="84"/>
    <x v="190"/>
    <x v="0"/>
    <x v="5"/>
    <x v="6"/>
    <x v="8"/>
  </r>
  <r>
    <x v="1043"/>
    <s v="Meena Gupta"/>
    <x v="1"/>
    <s v="Cardiac Issue"/>
    <n v="17882"/>
    <n v="17812"/>
    <x v="0"/>
    <x v="92"/>
    <x v="223"/>
    <x v="0"/>
    <x v="3"/>
    <x v="5"/>
    <x v="11"/>
  </r>
  <r>
    <x v="1044"/>
    <s v="Rohit Das"/>
    <x v="4"/>
    <s v="Fracture"/>
    <n v="18665"/>
    <n v="17432"/>
    <x v="0"/>
    <x v="104"/>
    <x v="273"/>
    <x v="0"/>
    <x v="4"/>
    <x v="7"/>
    <x v="10"/>
  </r>
  <r>
    <x v="1045"/>
    <s v="Priya Sharma"/>
    <x v="1"/>
    <s v="Asthma"/>
    <n v="48272"/>
    <n v="0"/>
    <x v="1"/>
    <x v="63"/>
    <x v="2"/>
    <x v="0"/>
    <x v="2"/>
    <x v="2"/>
    <x v="0"/>
  </r>
  <r>
    <x v="1046"/>
    <s v="Anil Reddy"/>
    <x v="1"/>
    <s v="Migraine"/>
    <n v="47340"/>
    <n v="46315"/>
    <x v="0"/>
    <x v="171"/>
    <x v="18"/>
    <x v="1"/>
    <x v="5"/>
    <x v="9"/>
    <x v="1"/>
  </r>
  <r>
    <x v="1047"/>
    <s v="Meena Gupta"/>
    <x v="0"/>
    <s v="Diabetes"/>
    <n v="43692"/>
    <n v="0"/>
    <x v="1"/>
    <x v="75"/>
    <x v="2"/>
    <x v="0"/>
    <x v="3"/>
    <x v="2"/>
    <x v="3"/>
  </r>
  <r>
    <x v="1048"/>
    <s v="Kiran Patel"/>
    <x v="1"/>
    <s v="Migraine"/>
    <n v="2420"/>
    <n v="749"/>
    <x v="0"/>
    <x v="293"/>
    <x v="325"/>
    <x v="0"/>
    <x v="4"/>
    <x v="5"/>
    <x v="1"/>
  </r>
  <r>
    <x v="1049"/>
    <s v="Meena Gupta"/>
    <x v="1"/>
    <s v="Migraine"/>
    <n v="30242"/>
    <n v="29881"/>
    <x v="0"/>
    <x v="350"/>
    <x v="332"/>
    <x v="0"/>
    <x v="4"/>
    <x v="7"/>
    <x v="11"/>
  </r>
  <r>
    <x v="1050"/>
    <s v="Arjun Singh"/>
    <x v="5"/>
    <s v="Diabetes"/>
    <n v="31534"/>
    <n v="0"/>
    <x v="1"/>
    <x v="315"/>
    <x v="2"/>
    <x v="0"/>
    <x v="4"/>
    <x v="2"/>
    <x v="7"/>
  </r>
  <r>
    <x v="1051"/>
    <s v="Ravi Kumar"/>
    <x v="5"/>
    <s v="Cardiac Issue"/>
    <n v="18996"/>
    <n v="18094"/>
    <x v="0"/>
    <x v="305"/>
    <x v="331"/>
    <x v="0"/>
    <x v="1"/>
    <x v="1"/>
    <x v="6"/>
  </r>
  <r>
    <x v="1052"/>
    <s v="Anil Reddy"/>
    <x v="0"/>
    <s v="Migraine"/>
    <n v="7616"/>
    <n v="7361"/>
    <x v="0"/>
    <x v="303"/>
    <x v="194"/>
    <x v="1"/>
    <x v="4"/>
    <x v="3"/>
    <x v="2"/>
  </r>
  <r>
    <x v="1053"/>
    <s v="Rohit Das"/>
    <x v="3"/>
    <s v="Covid"/>
    <n v="33797"/>
    <n v="33778"/>
    <x v="0"/>
    <x v="188"/>
    <x v="5"/>
    <x v="0"/>
    <x v="5"/>
    <x v="10"/>
    <x v="0"/>
  </r>
  <r>
    <x v="1054"/>
    <s v="Rohit Das"/>
    <x v="0"/>
    <s v="Diabetes"/>
    <n v="15832"/>
    <n v="0"/>
    <x v="1"/>
    <x v="194"/>
    <x v="2"/>
    <x v="1"/>
    <x v="0"/>
    <x v="2"/>
    <x v="4"/>
  </r>
  <r>
    <x v="1055"/>
    <s v="Kavya Nair"/>
    <x v="2"/>
    <s v="Covid"/>
    <n v="33013"/>
    <n v="31776"/>
    <x v="0"/>
    <x v="67"/>
    <x v="333"/>
    <x v="1"/>
    <x v="5"/>
    <x v="6"/>
    <x v="5"/>
  </r>
  <r>
    <x v="1056"/>
    <s v="Rahul Verma"/>
    <x v="2"/>
    <s v="Cardiac Issue"/>
    <n v="25672"/>
    <n v="24897"/>
    <x v="0"/>
    <x v="100"/>
    <x v="110"/>
    <x v="1"/>
    <x v="1"/>
    <x v="5"/>
    <x v="6"/>
  </r>
  <r>
    <x v="1057"/>
    <s v="Rahul Verma"/>
    <x v="0"/>
    <s v="Fever"/>
    <n v="31944"/>
    <n v="30459"/>
    <x v="0"/>
    <x v="181"/>
    <x v="212"/>
    <x v="0"/>
    <x v="1"/>
    <x v="5"/>
    <x v="9"/>
  </r>
  <r>
    <x v="1058"/>
    <s v="Kavya Nair"/>
    <x v="2"/>
    <s v="Cardiac Issue"/>
    <n v="26145"/>
    <n v="24879"/>
    <x v="0"/>
    <x v="233"/>
    <x v="334"/>
    <x v="1"/>
    <x v="5"/>
    <x v="4"/>
    <x v="8"/>
  </r>
  <r>
    <x v="1059"/>
    <s v="Kiran Patel"/>
    <x v="0"/>
    <s v="Infection"/>
    <n v="3089"/>
    <n v="1301"/>
    <x v="0"/>
    <x v="52"/>
    <x v="321"/>
    <x v="1"/>
    <x v="4"/>
    <x v="6"/>
    <x v="4"/>
  </r>
  <r>
    <x v="1060"/>
    <s v="Rohit Das"/>
    <x v="4"/>
    <s v="Asthma"/>
    <n v="42146"/>
    <n v="41433"/>
    <x v="0"/>
    <x v="67"/>
    <x v="54"/>
    <x v="0"/>
    <x v="5"/>
    <x v="4"/>
    <x v="5"/>
  </r>
  <r>
    <x v="1061"/>
    <s v="Meena Gupta"/>
    <x v="2"/>
    <s v="Cardiac Issue"/>
    <n v="48657"/>
    <n v="46876"/>
    <x v="0"/>
    <x v="46"/>
    <x v="251"/>
    <x v="0"/>
    <x v="4"/>
    <x v="1"/>
    <x v="1"/>
  </r>
  <r>
    <x v="1062"/>
    <s v="Arjun Singh"/>
    <x v="0"/>
    <s v="Migraine"/>
    <n v="46109"/>
    <n v="0"/>
    <x v="1"/>
    <x v="178"/>
    <x v="2"/>
    <x v="0"/>
    <x v="2"/>
    <x v="2"/>
    <x v="5"/>
  </r>
  <r>
    <x v="1063"/>
    <s v="Priya Sharma"/>
    <x v="4"/>
    <s v="Cardiac Issue"/>
    <n v="17948"/>
    <n v="17599"/>
    <x v="0"/>
    <x v="299"/>
    <x v="252"/>
    <x v="0"/>
    <x v="2"/>
    <x v="3"/>
    <x v="8"/>
  </r>
  <r>
    <x v="1064"/>
    <s v="Ravi Kumar"/>
    <x v="5"/>
    <s v="Infection"/>
    <n v="27132"/>
    <n v="26681"/>
    <x v="0"/>
    <x v="179"/>
    <x v="202"/>
    <x v="0"/>
    <x v="5"/>
    <x v="4"/>
    <x v="2"/>
  </r>
  <r>
    <x v="1065"/>
    <s v="Anil Reddy"/>
    <x v="4"/>
    <s v="Diabetes"/>
    <n v="47336"/>
    <n v="45551"/>
    <x v="0"/>
    <x v="138"/>
    <x v="33"/>
    <x v="0"/>
    <x v="5"/>
    <x v="1"/>
    <x v="7"/>
  </r>
  <r>
    <x v="1066"/>
    <s v="Rahul Verma"/>
    <x v="1"/>
    <s v="Asthma"/>
    <n v="44855"/>
    <n v="0"/>
    <x v="1"/>
    <x v="316"/>
    <x v="2"/>
    <x v="0"/>
    <x v="4"/>
    <x v="2"/>
    <x v="5"/>
  </r>
  <r>
    <x v="1067"/>
    <s v="Sneha Iyer"/>
    <x v="0"/>
    <s v="Migraine"/>
    <n v="7746"/>
    <n v="7564"/>
    <x v="0"/>
    <x v="351"/>
    <x v="232"/>
    <x v="0"/>
    <x v="5"/>
    <x v="1"/>
    <x v="3"/>
  </r>
  <r>
    <x v="1068"/>
    <s v="Priya Sharma"/>
    <x v="2"/>
    <s v="Fracture"/>
    <n v="22537"/>
    <n v="21356"/>
    <x v="0"/>
    <x v="49"/>
    <x v="335"/>
    <x v="0"/>
    <x v="0"/>
    <x v="10"/>
    <x v="4"/>
  </r>
  <r>
    <x v="1069"/>
    <s v="Kavya Nair"/>
    <x v="3"/>
    <s v="Asthma"/>
    <n v="29767"/>
    <n v="28188"/>
    <x v="0"/>
    <x v="298"/>
    <x v="79"/>
    <x v="0"/>
    <x v="4"/>
    <x v="7"/>
    <x v="11"/>
  </r>
  <r>
    <x v="1070"/>
    <s v="Meena Gupta"/>
    <x v="0"/>
    <s v="Covid"/>
    <n v="22704"/>
    <n v="21033"/>
    <x v="0"/>
    <x v="150"/>
    <x v="291"/>
    <x v="1"/>
    <x v="5"/>
    <x v="8"/>
    <x v="2"/>
  </r>
  <r>
    <x v="1071"/>
    <s v="Arjun Singh"/>
    <x v="5"/>
    <s v="Migraine"/>
    <n v="11559"/>
    <n v="10333"/>
    <x v="0"/>
    <x v="57"/>
    <x v="203"/>
    <x v="0"/>
    <x v="3"/>
    <x v="10"/>
    <x v="3"/>
  </r>
  <r>
    <x v="1072"/>
    <s v="Rohit Das"/>
    <x v="4"/>
    <s v="Cardiac Issue"/>
    <n v="34441"/>
    <n v="32999"/>
    <x v="0"/>
    <x v="133"/>
    <x v="315"/>
    <x v="1"/>
    <x v="4"/>
    <x v="5"/>
    <x v="11"/>
  </r>
  <r>
    <x v="1073"/>
    <s v="Kiran Patel"/>
    <x v="3"/>
    <s v="Fever"/>
    <n v="13732"/>
    <n v="12243"/>
    <x v="0"/>
    <x v="313"/>
    <x v="80"/>
    <x v="0"/>
    <x v="4"/>
    <x v="10"/>
    <x v="11"/>
  </r>
  <r>
    <x v="1074"/>
    <s v="Kavya Nair"/>
    <x v="1"/>
    <s v="Infection"/>
    <n v="29684"/>
    <n v="28971"/>
    <x v="0"/>
    <x v="313"/>
    <x v="186"/>
    <x v="0"/>
    <x v="0"/>
    <x v="9"/>
    <x v="11"/>
  </r>
  <r>
    <x v="1075"/>
    <s v="Sneha Iyer"/>
    <x v="2"/>
    <s v="Cardiac Issue"/>
    <n v="47947"/>
    <n v="0"/>
    <x v="1"/>
    <x v="206"/>
    <x v="2"/>
    <x v="0"/>
    <x v="4"/>
    <x v="2"/>
    <x v="11"/>
  </r>
  <r>
    <x v="1076"/>
    <s v="Rahul Verma"/>
    <x v="0"/>
    <s v="Migraine"/>
    <n v="31984"/>
    <n v="30802"/>
    <x v="0"/>
    <x v="174"/>
    <x v="336"/>
    <x v="1"/>
    <x v="3"/>
    <x v="4"/>
    <x v="9"/>
  </r>
  <r>
    <x v="1077"/>
    <s v="Anil Reddy"/>
    <x v="3"/>
    <s v="Cardiac Issue"/>
    <n v="14822"/>
    <n v="14081"/>
    <x v="0"/>
    <x v="142"/>
    <x v="63"/>
    <x v="0"/>
    <x v="2"/>
    <x v="3"/>
    <x v="10"/>
  </r>
  <r>
    <x v="1078"/>
    <s v="Meena Gupta"/>
    <x v="5"/>
    <s v="Fever"/>
    <n v="8294"/>
    <n v="6299"/>
    <x v="0"/>
    <x v="190"/>
    <x v="316"/>
    <x v="0"/>
    <x v="4"/>
    <x v="7"/>
    <x v="5"/>
  </r>
  <r>
    <x v="1079"/>
    <s v="Kavya Nair"/>
    <x v="2"/>
    <s v="Asthma"/>
    <n v="11736"/>
    <n v="11235"/>
    <x v="0"/>
    <x v="245"/>
    <x v="295"/>
    <x v="0"/>
    <x v="2"/>
    <x v="3"/>
    <x v="4"/>
  </r>
  <r>
    <x v="1080"/>
    <s v="Arjun Singh"/>
    <x v="2"/>
    <s v="Fracture"/>
    <n v="44781"/>
    <n v="43193"/>
    <x v="0"/>
    <x v="98"/>
    <x v="207"/>
    <x v="1"/>
    <x v="1"/>
    <x v="3"/>
    <x v="8"/>
  </r>
  <r>
    <x v="1081"/>
    <s v="Meena Gupta"/>
    <x v="2"/>
    <s v="Covid"/>
    <n v="26072"/>
    <n v="25827"/>
    <x v="0"/>
    <x v="287"/>
    <x v="0"/>
    <x v="0"/>
    <x v="2"/>
    <x v="3"/>
    <x v="0"/>
  </r>
  <r>
    <x v="1082"/>
    <s v="Kavya Nair"/>
    <x v="3"/>
    <s v="Fever"/>
    <n v="40459"/>
    <n v="0"/>
    <x v="1"/>
    <x v="215"/>
    <x v="2"/>
    <x v="1"/>
    <x v="3"/>
    <x v="2"/>
    <x v="10"/>
  </r>
  <r>
    <x v="1083"/>
    <s v="Priya Sharma"/>
    <x v="5"/>
    <s v="Asthma"/>
    <n v="33731"/>
    <n v="33120"/>
    <x v="0"/>
    <x v="247"/>
    <x v="318"/>
    <x v="0"/>
    <x v="3"/>
    <x v="7"/>
    <x v="10"/>
  </r>
  <r>
    <x v="1084"/>
    <s v="Priya Sharma"/>
    <x v="5"/>
    <s v="Asthma"/>
    <n v="47923"/>
    <n v="47117"/>
    <x v="0"/>
    <x v="73"/>
    <x v="115"/>
    <x v="1"/>
    <x v="4"/>
    <x v="0"/>
    <x v="10"/>
  </r>
  <r>
    <x v="1085"/>
    <s v="Kavya Nair"/>
    <x v="0"/>
    <s v="Cardiac Issue"/>
    <n v="45160"/>
    <n v="44790"/>
    <x v="0"/>
    <x v="352"/>
    <x v="337"/>
    <x v="0"/>
    <x v="0"/>
    <x v="7"/>
    <x v="6"/>
  </r>
  <r>
    <x v="1086"/>
    <s v="Arjun Singh"/>
    <x v="2"/>
    <s v="Diabetes"/>
    <n v="4565"/>
    <n v="3388"/>
    <x v="0"/>
    <x v="186"/>
    <x v="173"/>
    <x v="0"/>
    <x v="0"/>
    <x v="7"/>
    <x v="7"/>
  </r>
  <r>
    <x v="1087"/>
    <s v="Sneha Iyer"/>
    <x v="0"/>
    <s v="Diabetes"/>
    <n v="10173"/>
    <n v="0"/>
    <x v="1"/>
    <x v="175"/>
    <x v="2"/>
    <x v="1"/>
    <x v="0"/>
    <x v="2"/>
    <x v="3"/>
  </r>
  <r>
    <x v="1088"/>
    <s v="Anil Reddy"/>
    <x v="1"/>
    <s v="Fever"/>
    <n v="18275"/>
    <n v="18181"/>
    <x v="0"/>
    <x v="327"/>
    <x v="309"/>
    <x v="1"/>
    <x v="4"/>
    <x v="10"/>
    <x v="1"/>
  </r>
  <r>
    <x v="1089"/>
    <s v="Rohit Das"/>
    <x v="4"/>
    <s v="Infection"/>
    <n v="36253"/>
    <n v="35012"/>
    <x v="0"/>
    <x v="69"/>
    <x v="246"/>
    <x v="0"/>
    <x v="5"/>
    <x v="0"/>
    <x v="10"/>
  </r>
  <r>
    <x v="1090"/>
    <s v="Priya Sharma"/>
    <x v="0"/>
    <s v="Cardiac Issue"/>
    <n v="4407"/>
    <n v="4117"/>
    <x v="0"/>
    <x v="35"/>
    <x v="338"/>
    <x v="0"/>
    <x v="0"/>
    <x v="8"/>
    <x v="3"/>
  </r>
  <r>
    <x v="1091"/>
    <s v="Kavya Nair"/>
    <x v="3"/>
    <s v="Infection"/>
    <n v="20179"/>
    <n v="18686"/>
    <x v="0"/>
    <x v="344"/>
    <x v="239"/>
    <x v="0"/>
    <x v="0"/>
    <x v="9"/>
    <x v="6"/>
  </r>
  <r>
    <x v="1092"/>
    <s v="Sneha Iyer"/>
    <x v="2"/>
    <s v="Asthma"/>
    <n v="44583"/>
    <n v="43764"/>
    <x v="0"/>
    <x v="97"/>
    <x v="88"/>
    <x v="1"/>
    <x v="5"/>
    <x v="3"/>
    <x v="5"/>
  </r>
  <r>
    <x v="1093"/>
    <s v="Meena Gupta"/>
    <x v="5"/>
    <s v="Cardiac Issue"/>
    <n v="6624"/>
    <n v="5328"/>
    <x v="0"/>
    <x v="27"/>
    <x v="162"/>
    <x v="1"/>
    <x v="0"/>
    <x v="8"/>
    <x v="8"/>
  </r>
  <r>
    <x v="1094"/>
    <s v="Kavya Nair"/>
    <x v="5"/>
    <s v="Asthma"/>
    <n v="12059"/>
    <n v="10446"/>
    <x v="0"/>
    <x v="291"/>
    <x v="339"/>
    <x v="0"/>
    <x v="0"/>
    <x v="9"/>
    <x v="5"/>
  </r>
  <r>
    <x v="1095"/>
    <s v="Kiran Patel"/>
    <x v="0"/>
    <s v="Migraine"/>
    <n v="10167"/>
    <n v="0"/>
    <x v="1"/>
    <x v="318"/>
    <x v="2"/>
    <x v="1"/>
    <x v="4"/>
    <x v="2"/>
    <x v="0"/>
  </r>
  <r>
    <x v="1096"/>
    <s v="Rahul Verma"/>
    <x v="0"/>
    <s v="Infection"/>
    <n v="23857"/>
    <n v="23558"/>
    <x v="0"/>
    <x v="85"/>
    <x v="245"/>
    <x v="0"/>
    <x v="4"/>
    <x v="10"/>
    <x v="7"/>
  </r>
  <r>
    <x v="1097"/>
    <s v="Meena Gupta"/>
    <x v="3"/>
    <s v="Asthma"/>
    <n v="8881"/>
    <n v="8522"/>
    <x v="0"/>
    <x v="144"/>
    <x v="24"/>
    <x v="1"/>
    <x v="4"/>
    <x v="10"/>
    <x v="1"/>
  </r>
  <r>
    <x v="1098"/>
    <s v="Kavya Nair"/>
    <x v="2"/>
    <s v="Migraine"/>
    <n v="38145"/>
    <n v="36901"/>
    <x v="0"/>
    <x v="218"/>
    <x v="297"/>
    <x v="0"/>
    <x v="3"/>
    <x v="5"/>
    <x v="0"/>
  </r>
  <r>
    <x v="1099"/>
    <s v="Meena Gupta"/>
    <x v="5"/>
    <s v="Infection"/>
    <n v="46421"/>
    <n v="0"/>
    <x v="1"/>
    <x v="195"/>
    <x v="2"/>
    <x v="1"/>
    <x v="2"/>
    <x v="2"/>
    <x v="10"/>
  </r>
  <r>
    <x v="1100"/>
    <s v="Rohit Das"/>
    <x v="5"/>
    <s v="Migraine"/>
    <n v="2622"/>
    <n v="0"/>
    <x v="1"/>
    <x v="170"/>
    <x v="2"/>
    <x v="0"/>
    <x v="5"/>
    <x v="2"/>
    <x v="8"/>
  </r>
  <r>
    <x v="1101"/>
    <s v="Anil Reddy"/>
    <x v="5"/>
    <s v="Asthma"/>
    <n v="39195"/>
    <n v="39087"/>
    <x v="0"/>
    <x v="180"/>
    <x v="112"/>
    <x v="0"/>
    <x v="5"/>
    <x v="6"/>
    <x v="6"/>
  </r>
  <r>
    <x v="1102"/>
    <s v="Rohit Das"/>
    <x v="1"/>
    <s v="Covid"/>
    <n v="13999"/>
    <n v="13275"/>
    <x v="0"/>
    <x v="178"/>
    <x v="108"/>
    <x v="1"/>
    <x v="3"/>
    <x v="0"/>
    <x v="5"/>
  </r>
  <r>
    <x v="1103"/>
    <s v="Meena Gupta"/>
    <x v="3"/>
    <s v="Migraine"/>
    <n v="43656"/>
    <n v="41716"/>
    <x v="0"/>
    <x v="43"/>
    <x v="328"/>
    <x v="1"/>
    <x v="1"/>
    <x v="9"/>
    <x v="3"/>
  </r>
  <r>
    <x v="1104"/>
    <s v="Priya Sharma"/>
    <x v="0"/>
    <s v="Diabetes"/>
    <n v="49838"/>
    <n v="47903"/>
    <x v="0"/>
    <x v="353"/>
    <x v="142"/>
    <x v="0"/>
    <x v="4"/>
    <x v="7"/>
    <x v="0"/>
  </r>
  <r>
    <x v="1105"/>
    <s v="Sneha Iyer"/>
    <x v="4"/>
    <s v="Fever"/>
    <n v="29786"/>
    <n v="0"/>
    <x v="1"/>
    <x v="184"/>
    <x v="2"/>
    <x v="1"/>
    <x v="2"/>
    <x v="2"/>
    <x v="9"/>
  </r>
  <r>
    <x v="1106"/>
    <s v="Kavya Nair"/>
    <x v="0"/>
    <s v="Asthma"/>
    <n v="2910"/>
    <n v="0"/>
    <x v="1"/>
    <x v="349"/>
    <x v="2"/>
    <x v="0"/>
    <x v="5"/>
    <x v="2"/>
    <x v="7"/>
  </r>
  <r>
    <x v="1107"/>
    <s v="Meena Gupta"/>
    <x v="2"/>
    <s v="Cardiac Issue"/>
    <n v="45330"/>
    <n v="0"/>
    <x v="1"/>
    <x v="307"/>
    <x v="2"/>
    <x v="0"/>
    <x v="0"/>
    <x v="2"/>
    <x v="8"/>
  </r>
  <r>
    <x v="1108"/>
    <s v="Arjun Singh"/>
    <x v="5"/>
    <s v="Cardiac Issue"/>
    <n v="13456"/>
    <n v="12705"/>
    <x v="0"/>
    <x v="182"/>
    <x v="91"/>
    <x v="1"/>
    <x v="4"/>
    <x v="0"/>
    <x v="9"/>
  </r>
  <r>
    <x v="1109"/>
    <s v="Meena Gupta"/>
    <x v="4"/>
    <s v="Asthma"/>
    <n v="13172"/>
    <n v="11186"/>
    <x v="0"/>
    <x v="221"/>
    <x v="94"/>
    <x v="0"/>
    <x v="1"/>
    <x v="6"/>
    <x v="0"/>
  </r>
  <r>
    <x v="1110"/>
    <s v="Kavya Nair"/>
    <x v="0"/>
    <s v="Migraine"/>
    <n v="21606"/>
    <n v="21005"/>
    <x v="0"/>
    <x v="105"/>
    <x v="202"/>
    <x v="0"/>
    <x v="5"/>
    <x v="8"/>
    <x v="2"/>
  </r>
  <r>
    <x v="1111"/>
    <s v="Rohit Das"/>
    <x v="1"/>
    <s v="Cardiac Issue"/>
    <n v="21976"/>
    <n v="0"/>
    <x v="1"/>
    <x v="39"/>
    <x v="2"/>
    <x v="1"/>
    <x v="0"/>
    <x v="2"/>
    <x v="4"/>
  </r>
  <r>
    <x v="1112"/>
    <s v="Arjun Singh"/>
    <x v="0"/>
    <s v="Infection"/>
    <n v="2386"/>
    <n v="0"/>
    <x v="1"/>
    <x v="294"/>
    <x v="2"/>
    <x v="1"/>
    <x v="3"/>
    <x v="2"/>
    <x v="5"/>
  </r>
  <r>
    <x v="1113"/>
    <s v="Rahul Verma"/>
    <x v="0"/>
    <s v="Fever"/>
    <n v="24919"/>
    <n v="24096"/>
    <x v="0"/>
    <x v="311"/>
    <x v="340"/>
    <x v="0"/>
    <x v="2"/>
    <x v="5"/>
    <x v="3"/>
  </r>
  <r>
    <x v="1114"/>
    <s v="Arjun Singh"/>
    <x v="3"/>
    <s v="Diabetes"/>
    <n v="36674"/>
    <n v="0"/>
    <x v="1"/>
    <x v="116"/>
    <x v="2"/>
    <x v="1"/>
    <x v="4"/>
    <x v="2"/>
    <x v="9"/>
  </r>
  <r>
    <x v="1115"/>
    <s v="Arjun Singh"/>
    <x v="0"/>
    <s v="Fracture"/>
    <n v="45033"/>
    <n v="44570"/>
    <x v="0"/>
    <x v="126"/>
    <x v="137"/>
    <x v="1"/>
    <x v="3"/>
    <x v="9"/>
    <x v="5"/>
  </r>
  <r>
    <x v="1116"/>
    <s v="Rahul Verma"/>
    <x v="1"/>
    <s v="Fracture"/>
    <n v="37155"/>
    <n v="36933"/>
    <x v="0"/>
    <x v="187"/>
    <x v="341"/>
    <x v="0"/>
    <x v="4"/>
    <x v="4"/>
    <x v="5"/>
  </r>
  <r>
    <x v="1117"/>
    <s v="Rahul Verma"/>
    <x v="1"/>
    <s v="Fever"/>
    <n v="25542"/>
    <n v="25316"/>
    <x v="0"/>
    <x v="349"/>
    <x v="180"/>
    <x v="0"/>
    <x v="4"/>
    <x v="10"/>
    <x v="7"/>
  </r>
  <r>
    <x v="1118"/>
    <s v="Meena Gupta"/>
    <x v="1"/>
    <s v="Infection"/>
    <n v="4071"/>
    <n v="2707"/>
    <x v="0"/>
    <x v="66"/>
    <x v="317"/>
    <x v="1"/>
    <x v="4"/>
    <x v="4"/>
    <x v="7"/>
  </r>
  <r>
    <x v="1119"/>
    <s v="Meena Gupta"/>
    <x v="4"/>
    <s v="Covid"/>
    <n v="46678"/>
    <n v="46013"/>
    <x v="0"/>
    <x v="347"/>
    <x v="342"/>
    <x v="1"/>
    <x v="4"/>
    <x v="0"/>
    <x v="11"/>
  </r>
  <r>
    <x v="1120"/>
    <s v="Priya Sharma"/>
    <x v="0"/>
    <s v="Fever"/>
    <n v="10265"/>
    <n v="9561"/>
    <x v="0"/>
    <x v="334"/>
    <x v="343"/>
    <x v="0"/>
    <x v="4"/>
    <x v="5"/>
    <x v="1"/>
  </r>
  <r>
    <x v="1121"/>
    <s v="Rahul Verma"/>
    <x v="1"/>
    <s v="Fever"/>
    <n v="30464"/>
    <n v="29872"/>
    <x v="0"/>
    <x v="36"/>
    <x v="61"/>
    <x v="0"/>
    <x v="1"/>
    <x v="4"/>
    <x v="2"/>
  </r>
  <r>
    <x v="1122"/>
    <s v="Meena Gupta"/>
    <x v="3"/>
    <s v="Fracture"/>
    <n v="49792"/>
    <n v="0"/>
    <x v="1"/>
    <x v="149"/>
    <x v="2"/>
    <x v="0"/>
    <x v="3"/>
    <x v="2"/>
    <x v="7"/>
  </r>
  <r>
    <x v="1123"/>
    <s v="Priya Sharma"/>
    <x v="2"/>
    <s v="Cardiac Issue"/>
    <n v="45668"/>
    <n v="45262"/>
    <x v="0"/>
    <x v="190"/>
    <x v="109"/>
    <x v="0"/>
    <x v="4"/>
    <x v="3"/>
    <x v="5"/>
  </r>
  <r>
    <x v="1124"/>
    <s v="Rohit Das"/>
    <x v="5"/>
    <s v="Cardiac Issue"/>
    <n v="9894"/>
    <n v="9073"/>
    <x v="0"/>
    <x v="286"/>
    <x v="31"/>
    <x v="0"/>
    <x v="4"/>
    <x v="10"/>
    <x v="4"/>
  </r>
  <r>
    <x v="1125"/>
    <s v="Meena Gupta"/>
    <x v="0"/>
    <s v="Cardiac Issue"/>
    <n v="7959"/>
    <n v="7181"/>
    <x v="0"/>
    <x v="329"/>
    <x v="230"/>
    <x v="1"/>
    <x v="5"/>
    <x v="0"/>
    <x v="11"/>
  </r>
  <r>
    <x v="1126"/>
    <s v="Kiran Patel"/>
    <x v="3"/>
    <s v="Infection"/>
    <n v="29923"/>
    <n v="29798"/>
    <x v="0"/>
    <x v="255"/>
    <x v="1"/>
    <x v="0"/>
    <x v="3"/>
    <x v="9"/>
    <x v="1"/>
  </r>
  <r>
    <x v="1127"/>
    <s v="Priya Sharma"/>
    <x v="2"/>
    <s v="Infection"/>
    <n v="20386"/>
    <n v="18929"/>
    <x v="0"/>
    <x v="141"/>
    <x v="168"/>
    <x v="1"/>
    <x v="4"/>
    <x v="8"/>
    <x v="5"/>
  </r>
  <r>
    <x v="1128"/>
    <s v="Anil Reddy"/>
    <x v="0"/>
    <s v="Fever"/>
    <n v="5416"/>
    <n v="4982"/>
    <x v="0"/>
    <x v="333"/>
    <x v="28"/>
    <x v="1"/>
    <x v="0"/>
    <x v="4"/>
    <x v="2"/>
  </r>
  <r>
    <x v="1129"/>
    <s v="Priya Sharma"/>
    <x v="1"/>
    <s v="Fracture"/>
    <n v="18532"/>
    <n v="17788"/>
    <x v="0"/>
    <x v="51"/>
    <x v="99"/>
    <x v="0"/>
    <x v="4"/>
    <x v="10"/>
    <x v="3"/>
  </r>
  <r>
    <x v="1130"/>
    <s v="Ravi Kumar"/>
    <x v="5"/>
    <s v="Infection"/>
    <n v="25630"/>
    <n v="24109"/>
    <x v="0"/>
    <x v="82"/>
    <x v="344"/>
    <x v="1"/>
    <x v="4"/>
    <x v="0"/>
    <x v="10"/>
  </r>
  <r>
    <x v="1131"/>
    <s v="Sneha Iyer"/>
    <x v="3"/>
    <s v="Asthma"/>
    <n v="7716"/>
    <n v="7449"/>
    <x v="0"/>
    <x v="289"/>
    <x v="218"/>
    <x v="0"/>
    <x v="4"/>
    <x v="1"/>
    <x v="6"/>
  </r>
  <r>
    <x v="1132"/>
    <s v="Rohit Das"/>
    <x v="3"/>
    <s v="Cardiac Issue"/>
    <n v="48180"/>
    <n v="46285"/>
    <x v="0"/>
    <x v="218"/>
    <x v="181"/>
    <x v="1"/>
    <x v="3"/>
    <x v="3"/>
    <x v="0"/>
  </r>
  <r>
    <x v="1133"/>
    <s v="Arjun Singh"/>
    <x v="3"/>
    <s v="Fracture"/>
    <n v="4871"/>
    <n v="4479"/>
    <x v="0"/>
    <x v="141"/>
    <x v="64"/>
    <x v="1"/>
    <x v="1"/>
    <x v="0"/>
    <x v="5"/>
  </r>
  <r>
    <x v="1134"/>
    <s v="Kavya Nair"/>
    <x v="2"/>
    <s v="Infection"/>
    <n v="31391"/>
    <n v="29526"/>
    <x v="0"/>
    <x v="316"/>
    <x v="333"/>
    <x v="1"/>
    <x v="2"/>
    <x v="3"/>
    <x v="5"/>
  </r>
  <r>
    <x v="1135"/>
    <s v="Kavya Nair"/>
    <x v="0"/>
    <s v="Fracture"/>
    <n v="41266"/>
    <n v="39840"/>
    <x v="0"/>
    <x v="117"/>
    <x v="193"/>
    <x v="0"/>
    <x v="0"/>
    <x v="10"/>
    <x v="9"/>
  </r>
  <r>
    <x v="1136"/>
    <s v="Ravi Kumar"/>
    <x v="3"/>
    <s v="Asthma"/>
    <n v="34442"/>
    <n v="0"/>
    <x v="1"/>
    <x v="326"/>
    <x v="2"/>
    <x v="0"/>
    <x v="4"/>
    <x v="2"/>
    <x v="1"/>
  </r>
  <r>
    <x v="1137"/>
    <s v="Arjun Singh"/>
    <x v="1"/>
    <s v="Asthma"/>
    <n v="28270"/>
    <n v="0"/>
    <x v="1"/>
    <x v="290"/>
    <x v="2"/>
    <x v="0"/>
    <x v="4"/>
    <x v="2"/>
    <x v="2"/>
  </r>
  <r>
    <x v="1138"/>
    <s v="Ravi Kumar"/>
    <x v="5"/>
    <s v="Cardiac Issue"/>
    <n v="40804"/>
    <n v="39004"/>
    <x v="0"/>
    <x v="326"/>
    <x v="309"/>
    <x v="1"/>
    <x v="3"/>
    <x v="4"/>
    <x v="1"/>
  </r>
  <r>
    <x v="1139"/>
    <s v="Kiran Patel"/>
    <x v="2"/>
    <s v="Migraine"/>
    <n v="38185"/>
    <n v="37835"/>
    <x v="0"/>
    <x v="138"/>
    <x v="122"/>
    <x v="0"/>
    <x v="3"/>
    <x v="5"/>
    <x v="7"/>
  </r>
  <r>
    <x v="1140"/>
    <s v="Ravi Kumar"/>
    <x v="5"/>
    <s v="Migraine"/>
    <n v="10714"/>
    <n v="8926"/>
    <x v="0"/>
    <x v="37"/>
    <x v="4"/>
    <x v="0"/>
    <x v="0"/>
    <x v="8"/>
    <x v="4"/>
  </r>
  <r>
    <x v="1141"/>
    <s v="Priya Sharma"/>
    <x v="0"/>
    <s v="Infection"/>
    <n v="43463"/>
    <n v="0"/>
    <x v="1"/>
    <x v="120"/>
    <x v="2"/>
    <x v="1"/>
    <x v="4"/>
    <x v="2"/>
    <x v="11"/>
  </r>
  <r>
    <x v="1142"/>
    <s v="Kavya Nair"/>
    <x v="2"/>
    <s v="Fracture"/>
    <n v="28761"/>
    <n v="0"/>
    <x v="1"/>
    <x v="317"/>
    <x v="2"/>
    <x v="1"/>
    <x v="4"/>
    <x v="2"/>
    <x v="2"/>
  </r>
  <r>
    <x v="1143"/>
    <s v="Ravi Kumar"/>
    <x v="2"/>
    <s v="Cardiac Issue"/>
    <n v="49872"/>
    <n v="49511"/>
    <x v="0"/>
    <x v="179"/>
    <x v="74"/>
    <x v="0"/>
    <x v="5"/>
    <x v="5"/>
    <x v="2"/>
  </r>
  <r>
    <x v="1144"/>
    <s v="Meena Gupta"/>
    <x v="2"/>
    <s v="Cardiac Issue"/>
    <n v="30979"/>
    <n v="30315"/>
    <x v="0"/>
    <x v="217"/>
    <x v="132"/>
    <x v="1"/>
    <x v="4"/>
    <x v="8"/>
    <x v="2"/>
  </r>
  <r>
    <x v="1145"/>
    <s v="Arjun Singh"/>
    <x v="3"/>
    <s v="Asthma"/>
    <n v="26159"/>
    <n v="24312"/>
    <x v="0"/>
    <x v="156"/>
    <x v="137"/>
    <x v="1"/>
    <x v="4"/>
    <x v="3"/>
    <x v="1"/>
  </r>
  <r>
    <x v="1146"/>
    <s v="Arjun Singh"/>
    <x v="5"/>
    <s v="Fracture"/>
    <n v="14377"/>
    <n v="0"/>
    <x v="1"/>
    <x v="293"/>
    <x v="2"/>
    <x v="0"/>
    <x v="5"/>
    <x v="2"/>
    <x v="1"/>
  </r>
  <r>
    <x v="1147"/>
    <s v="Sneha Iyer"/>
    <x v="0"/>
    <s v="Migraine"/>
    <n v="12677"/>
    <n v="11003"/>
    <x v="0"/>
    <x v="206"/>
    <x v="59"/>
    <x v="0"/>
    <x v="4"/>
    <x v="1"/>
    <x v="11"/>
  </r>
  <r>
    <x v="1148"/>
    <s v="Anil Reddy"/>
    <x v="0"/>
    <s v="Asthma"/>
    <n v="18072"/>
    <n v="16211"/>
    <x v="0"/>
    <x v="129"/>
    <x v="216"/>
    <x v="0"/>
    <x v="5"/>
    <x v="9"/>
    <x v="6"/>
  </r>
  <r>
    <x v="1149"/>
    <s v="Kavya Nair"/>
    <x v="5"/>
    <s v="Fever"/>
    <n v="41537"/>
    <n v="40764"/>
    <x v="0"/>
    <x v="212"/>
    <x v="345"/>
    <x v="0"/>
    <x v="1"/>
    <x v="5"/>
    <x v="11"/>
  </r>
  <r>
    <x v="1150"/>
    <s v="Ravi Kumar"/>
    <x v="0"/>
    <s v="Fracture"/>
    <n v="18275"/>
    <n v="17727"/>
    <x v="0"/>
    <x v="164"/>
    <x v="34"/>
    <x v="0"/>
    <x v="1"/>
    <x v="1"/>
    <x v="9"/>
  </r>
  <r>
    <x v="1151"/>
    <s v="Ravi Kumar"/>
    <x v="0"/>
    <s v="Infection"/>
    <n v="48363"/>
    <n v="47949"/>
    <x v="0"/>
    <x v="181"/>
    <x v="148"/>
    <x v="1"/>
    <x v="1"/>
    <x v="4"/>
    <x v="9"/>
  </r>
  <r>
    <x v="1152"/>
    <s v="Anil Reddy"/>
    <x v="2"/>
    <s v="Infection"/>
    <n v="33385"/>
    <n v="32886"/>
    <x v="0"/>
    <x v="158"/>
    <x v="8"/>
    <x v="1"/>
    <x v="5"/>
    <x v="0"/>
    <x v="4"/>
  </r>
  <r>
    <x v="1153"/>
    <s v="Kavya Nair"/>
    <x v="0"/>
    <s v="Fever"/>
    <n v="4918"/>
    <n v="3803"/>
    <x v="0"/>
    <x v="150"/>
    <x v="153"/>
    <x v="1"/>
    <x v="4"/>
    <x v="3"/>
    <x v="2"/>
  </r>
  <r>
    <x v="1154"/>
    <s v="Ravi Kumar"/>
    <x v="3"/>
    <s v="Fever"/>
    <n v="16855"/>
    <n v="16066"/>
    <x v="0"/>
    <x v="321"/>
    <x v="276"/>
    <x v="1"/>
    <x v="4"/>
    <x v="6"/>
    <x v="9"/>
  </r>
  <r>
    <x v="1155"/>
    <s v="Meena Gupta"/>
    <x v="0"/>
    <s v="Covid"/>
    <n v="13112"/>
    <n v="12653"/>
    <x v="0"/>
    <x v="0"/>
    <x v="213"/>
    <x v="1"/>
    <x v="4"/>
    <x v="10"/>
    <x v="0"/>
  </r>
  <r>
    <x v="1156"/>
    <s v="Rohit Das"/>
    <x v="2"/>
    <s v="Diabetes"/>
    <n v="25625"/>
    <n v="23791"/>
    <x v="0"/>
    <x v="4"/>
    <x v="275"/>
    <x v="0"/>
    <x v="4"/>
    <x v="1"/>
    <x v="4"/>
  </r>
  <r>
    <x v="1157"/>
    <s v="Meena Gupta"/>
    <x v="2"/>
    <s v="Fracture"/>
    <n v="46527"/>
    <n v="46220"/>
    <x v="0"/>
    <x v="295"/>
    <x v="70"/>
    <x v="1"/>
    <x v="3"/>
    <x v="10"/>
    <x v="8"/>
  </r>
  <r>
    <x v="1158"/>
    <s v="Priya Sharma"/>
    <x v="2"/>
    <s v="Covid"/>
    <n v="45367"/>
    <n v="43457"/>
    <x v="0"/>
    <x v="105"/>
    <x v="30"/>
    <x v="0"/>
    <x v="1"/>
    <x v="3"/>
    <x v="2"/>
  </r>
  <r>
    <x v="1159"/>
    <s v="Anil Reddy"/>
    <x v="5"/>
    <s v="Infection"/>
    <n v="11684"/>
    <n v="10770"/>
    <x v="0"/>
    <x v="337"/>
    <x v="323"/>
    <x v="0"/>
    <x v="0"/>
    <x v="3"/>
    <x v="1"/>
  </r>
  <r>
    <x v="1160"/>
    <s v="Meena Gupta"/>
    <x v="2"/>
    <s v="Fracture"/>
    <n v="7927"/>
    <n v="7666"/>
    <x v="0"/>
    <x v="338"/>
    <x v="270"/>
    <x v="1"/>
    <x v="3"/>
    <x v="9"/>
    <x v="7"/>
  </r>
  <r>
    <x v="1161"/>
    <s v="Arjun Singh"/>
    <x v="1"/>
    <s v="Covid"/>
    <n v="47444"/>
    <n v="46212"/>
    <x v="0"/>
    <x v="7"/>
    <x v="283"/>
    <x v="0"/>
    <x v="1"/>
    <x v="6"/>
    <x v="6"/>
  </r>
  <r>
    <x v="1162"/>
    <s v="Kiran Patel"/>
    <x v="1"/>
    <s v="Asthma"/>
    <n v="38001"/>
    <n v="36898"/>
    <x v="0"/>
    <x v="257"/>
    <x v="226"/>
    <x v="0"/>
    <x v="2"/>
    <x v="4"/>
    <x v="1"/>
  </r>
  <r>
    <x v="1163"/>
    <s v="Priya Sharma"/>
    <x v="1"/>
    <s v="Cardiac Issue"/>
    <n v="48077"/>
    <n v="47596"/>
    <x v="0"/>
    <x v="92"/>
    <x v="223"/>
    <x v="0"/>
    <x v="1"/>
    <x v="5"/>
    <x v="11"/>
  </r>
  <r>
    <x v="1164"/>
    <s v="Ravi Kumar"/>
    <x v="2"/>
    <s v="Covid"/>
    <n v="10755"/>
    <n v="10633"/>
    <x v="0"/>
    <x v="254"/>
    <x v="232"/>
    <x v="0"/>
    <x v="3"/>
    <x v="6"/>
    <x v="3"/>
  </r>
  <r>
    <x v="1165"/>
    <s v="Arjun Singh"/>
    <x v="5"/>
    <s v="Asthma"/>
    <n v="17892"/>
    <n v="16197"/>
    <x v="0"/>
    <x v="138"/>
    <x v="122"/>
    <x v="0"/>
    <x v="4"/>
    <x v="5"/>
    <x v="7"/>
  </r>
  <r>
    <x v="1166"/>
    <s v="Anil Reddy"/>
    <x v="1"/>
    <s v="Fever"/>
    <n v="47621"/>
    <n v="46860"/>
    <x v="0"/>
    <x v="258"/>
    <x v="321"/>
    <x v="0"/>
    <x v="2"/>
    <x v="3"/>
    <x v="4"/>
  </r>
  <r>
    <x v="1167"/>
    <s v="Rohit Das"/>
    <x v="5"/>
    <s v="Fever"/>
    <n v="11626"/>
    <n v="11337"/>
    <x v="0"/>
    <x v="224"/>
    <x v="15"/>
    <x v="0"/>
    <x v="4"/>
    <x v="8"/>
    <x v="0"/>
  </r>
  <r>
    <x v="1168"/>
    <s v="Rohit Das"/>
    <x v="1"/>
    <s v="Fracture"/>
    <n v="13955"/>
    <n v="12433"/>
    <x v="0"/>
    <x v="181"/>
    <x v="171"/>
    <x v="1"/>
    <x v="2"/>
    <x v="0"/>
    <x v="9"/>
  </r>
  <r>
    <x v="1169"/>
    <s v="Meena Gupta"/>
    <x v="2"/>
    <s v="Covid"/>
    <n v="44260"/>
    <n v="43673"/>
    <x v="0"/>
    <x v="318"/>
    <x v="286"/>
    <x v="0"/>
    <x v="5"/>
    <x v="7"/>
    <x v="0"/>
  </r>
  <r>
    <x v="1170"/>
    <s v="Ravi Kumar"/>
    <x v="5"/>
    <s v="Fracture"/>
    <n v="2712"/>
    <n v="1007"/>
    <x v="0"/>
    <x v="17"/>
    <x v="124"/>
    <x v="1"/>
    <x v="0"/>
    <x v="4"/>
    <x v="5"/>
  </r>
  <r>
    <x v="1171"/>
    <s v="Kavya Nair"/>
    <x v="2"/>
    <s v="Cardiac Issue"/>
    <n v="29765"/>
    <n v="29209"/>
    <x v="0"/>
    <x v="353"/>
    <x v="179"/>
    <x v="1"/>
    <x v="4"/>
    <x v="0"/>
    <x v="0"/>
  </r>
  <r>
    <x v="1172"/>
    <s v="Kiran Patel"/>
    <x v="1"/>
    <s v="Fever"/>
    <n v="16346"/>
    <n v="15970"/>
    <x v="0"/>
    <x v="131"/>
    <x v="63"/>
    <x v="0"/>
    <x v="1"/>
    <x v="1"/>
    <x v="10"/>
  </r>
  <r>
    <x v="1173"/>
    <s v="Arjun Singh"/>
    <x v="4"/>
    <s v="Infection"/>
    <n v="44775"/>
    <n v="43081"/>
    <x v="0"/>
    <x v="62"/>
    <x v="345"/>
    <x v="0"/>
    <x v="1"/>
    <x v="7"/>
    <x v="11"/>
  </r>
  <r>
    <x v="1174"/>
    <s v="Rahul Verma"/>
    <x v="1"/>
    <s v="Cardiac Issue"/>
    <n v="19689"/>
    <n v="19476"/>
    <x v="0"/>
    <x v="132"/>
    <x v="133"/>
    <x v="1"/>
    <x v="4"/>
    <x v="6"/>
    <x v="0"/>
  </r>
  <r>
    <x v="1175"/>
    <s v="Kiran Patel"/>
    <x v="2"/>
    <s v="Fracture"/>
    <n v="37492"/>
    <n v="37359"/>
    <x v="0"/>
    <x v="315"/>
    <x v="60"/>
    <x v="0"/>
    <x v="1"/>
    <x v="1"/>
    <x v="7"/>
  </r>
  <r>
    <x v="1176"/>
    <s v="Sneha Iyer"/>
    <x v="3"/>
    <s v="Cardiac Issue"/>
    <n v="43837"/>
    <n v="43345"/>
    <x v="0"/>
    <x v="217"/>
    <x v="202"/>
    <x v="0"/>
    <x v="0"/>
    <x v="3"/>
    <x v="2"/>
  </r>
  <r>
    <x v="1177"/>
    <s v="Arjun Singh"/>
    <x v="0"/>
    <s v="Fever"/>
    <n v="22616"/>
    <n v="20684"/>
    <x v="0"/>
    <x v="240"/>
    <x v="182"/>
    <x v="1"/>
    <x v="1"/>
    <x v="5"/>
    <x v="3"/>
  </r>
  <r>
    <x v="1178"/>
    <s v="Sneha Iyer"/>
    <x v="1"/>
    <s v="Cardiac Issue"/>
    <n v="22609"/>
    <n v="21123"/>
    <x v="0"/>
    <x v="202"/>
    <x v="346"/>
    <x v="0"/>
    <x v="3"/>
    <x v="7"/>
    <x v="11"/>
  </r>
  <r>
    <x v="1179"/>
    <s v="Meena Gupta"/>
    <x v="0"/>
    <s v="Fracture"/>
    <n v="3552"/>
    <n v="0"/>
    <x v="1"/>
    <x v="102"/>
    <x v="2"/>
    <x v="1"/>
    <x v="0"/>
    <x v="2"/>
    <x v="11"/>
  </r>
  <r>
    <x v="1180"/>
    <s v="Ravi Kumar"/>
    <x v="2"/>
    <s v="Fracture"/>
    <n v="11931"/>
    <n v="11770"/>
    <x v="0"/>
    <x v="305"/>
    <x v="260"/>
    <x v="0"/>
    <x v="4"/>
    <x v="3"/>
    <x v="6"/>
  </r>
  <r>
    <x v="1181"/>
    <s v="Anil Reddy"/>
    <x v="5"/>
    <s v="Infection"/>
    <n v="31326"/>
    <n v="30632"/>
    <x v="0"/>
    <x v="162"/>
    <x v="28"/>
    <x v="1"/>
    <x v="4"/>
    <x v="6"/>
    <x v="2"/>
  </r>
  <r>
    <x v="1182"/>
    <s v="Meena Gupta"/>
    <x v="3"/>
    <s v="Cardiac Issue"/>
    <n v="42002"/>
    <n v="0"/>
    <x v="1"/>
    <x v="345"/>
    <x v="2"/>
    <x v="0"/>
    <x v="0"/>
    <x v="2"/>
    <x v="0"/>
  </r>
  <r>
    <x v="1183"/>
    <s v="Arjun Singh"/>
    <x v="0"/>
    <s v="Fever"/>
    <n v="11346"/>
    <n v="10226"/>
    <x v="0"/>
    <x v="238"/>
    <x v="181"/>
    <x v="0"/>
    <x v="2"/>
    <x v="4"/>
    <x v="0"/>
  </r>
  <r>
    <x v="1184"/>
    <s v="Rahul Verma"/>
    <x v="5"/>
    <s v="Migraine"/>
    <n v="12582"/>
    <n v="12009"/>
    <x v="0"/>
    <x v="80"/>
    <x v="143"/>
    <x v="1"/>
    <x v="4"/>
    <x v="6"/>
    <x v="10"/>
  </r>
  <r>
    <x v="1185"/>
    <s v="Priya Sharma"/>
    <x v="5"/>
    <s v="Covid"/>
    <n v="18904"/>
    <n v="18380"/>
    <x v="0"/>
    <x v="121"/>
    <x v="339"/>
    <x v="0"/>
    <x v="0"/>
    <x v="7"/>
    <x v="5"/>
  </r>
  <r>
    <x v="1186"/>
    <s v="Arjun Singh"/>
    <x v="0"/>
    <s v="Infection"/>
    <n v="20784"/>
    <n v="19947"/>
    <x v="0"/>
    <x v="269"/>
    <x v="347"/>
    <x v="1"/>
    <x v="3"/>
    <x v="7"/>
    <x v="6"/>
  </r>
  <r>
    <x v="1187"/>
    <s v="Kavya Nair"/>
    <x v="2"/>
    <s v="Infection"/>
    <n v="7471"/>
    <n v="6435"/>
    <x v="0"/>
    <x v="70"/>
    <x v="88"/>
    <x v="0"/>
    <x v="0"/>
    <x v="10"/>
    <x v="5"/>
  </r>
  <r>
    <x v="1188"/>
    <s v="Ravi Kumar"/>
    <x v="3"/>
    <s v="Fever"/>
    <n v="12129"/>
    <n v="11534"/>
    <x v="0"/>
    <x v="133"/>
    <x v="71"/>
    <x v="1"/>
    <x v="1"/>
    <x v="7"/>
    <x v="11"/>
  </r>
  <r>
    <x v="1189"/>
    <s v="Priya Sharma"/>
    <x v="3"/>
    <s v="Asthma"/>
    <n v="32295"/>
    <n v="31581"/>
    <x v="0"/>
    <x v="157"/>
    <x v="323"/>
    <x v="1"/>
    <x v="4"/>
    <x v="4"/>
    <x v="5"/>
  </r>
  <r>
    <x v="1190"/>
    <s v="Priya Sharma"/>
    <x v="5"/>
    <s v="Diabetes"/>
    <n v="28014"/>
    <n v="27606"/>
    <x v="0"/>
    <x v="26"/>
    <x v="59"/>
    <x v="0"/>
    <x v="3"/>
    <x v="6"/>
    <x v="11"/>
  </r>
  <r>
    <x v="1191"/>
    <s v="Rahul Verma"/>
    <x v="4"/>
    <s v="Cardiac Issue"/>
    <n v="48025"/>
    <n v="47791"/>
    <x v="0"/>
    <x v="2"/>
    <x v="288"/>
    <x v="0"/>
    <x v="0"/>
    <x v="4"/>
    <x v="2"/>
  </r>
  <r>
    <x v="1192"/>
    <s v="Anil Reddy"/>
    <x v="4"/>
    <s v="Fracture"/>
    <n v="43957"/>
    <n v="43302"/>
    <x v="0"/>
    <x v="274"/>
    <x v="149"/>
    <x v="1"/>
    <x v="4"/>
    <x v="5"/>
    <x v="10"/>
  </r>
  <r>
    <x v="1193"/>
    <s v="Rahul Verma"/>
    <x v="1"/>
    <s v="Covid"/>
    <n v="15986"/>
    <n v="15553"/>
    <x v="0"/>
    <x v="166"/>
    <x v="348"/>
    <x v="1"/>
    <x v="3"/>
    <x v="9"/>
    <x v="4"/>
  </r>
  <r>
    <x v="1194"/>
    <s v="Anil Reddy"/>
    <x v="0"/>
    <s v="Fracture"/>
    <n v="6538"/>
    <n v="5709"/>
    <x v="0"/>
    <x v="63"/>
    <x v="241"/>
    <x v="1"/>
    <x v="1"/>
    <x v="10"/>
    <x v="0"/>
  </r>
  <r>
    <x v="1195"/>
    <s v="Meena Gupta"/>
    <x v="3"/>
    <s v="Migraine"/>
    <n v="14063"/>
    <n v="13874"/>
    <x v="0"/>
    <x v="67"/>
    <x v="333"/>
    <x v="1"/>
    <x v="4"/>
    <x v="6"/>
    <x v="5"/>
  </r>
  <r>
    <x v="1196"/>
    <s v="Kiran Patel"/>
    <x v="2"/>
    <s v="Asthma"/>
    <n v="33563"/>
    <n v="32467"/>
    <x v="0"/>
    <x v="84"/>
    <x v="10"/>
    <x v="1"/>
    <x v="3"/>
    <x v="7"/>
    <x v="8"/>
  </r>
  <r>
    <x v="1197"/>
    <s v="Rohit Das"/>
    <x v="1"/>
    <s v="Fever"/>
    <n v="38759"/>
    <n v="0"/>
    <x v="1"/>
    <x v="66"/>
    <x v="2"/>
    <x v="0"/>
    <x v="5"/>
    <x v="2"/>
    <x v="7"/>
  </r>
  <r>
    <x v="1198"/>
    <s v="Rohit Das"/>
    <x v="5"/>
    <s v="Infection"/>
    <n v="45520"/>
    <n v="45491"/>
    <x v="0"/>
    <x v="304"/>
    <x v="123"/>
    <x v="0"/>
    <x v="2"/>
    <x v="4"/>
    <x v="9"/>
  </r>
  <r>
    <x v="1199"/>
    <s v="Rahul Verma"/>
    <x v="0"/>
    <s v="Asthma"/>
    <n v="19223"/>
    <n v="0"/>
    <x v="1"/>
    <x v="14"/>
    <x v="2"/>
    <x v="1"/>
    <x v="1"/>
    <x v="2"/>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80E3EC-9455-4D7A-8025-ED004A5EFE08}" name="PivotTable28" cacheId="3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15:I18" firstHeaderRow="1" firstDataRow="1" firstDataCol="1"/>
  <pivotFields count="15">
    <pivotField showAll="0"/>
    <pivotField showAll="0"/>
    <pivotField showAll="0"/>
    <pivotField showAll="0"/>
    <pivotField showAll="0"/>
    <pivotField showAll="0"/>
    <pivotField showAll="0"/>
    <pivotField numFmtId="14" showAll="0"/>
    <pivotField showAll="0"/>
    <pivotField axis="axisRow" showAll="0">
      <items count="3">
        <item x="1"/>
        <item x="0"/>
        <item t="default"/>
      </items>
    </pivotField>
    <pivotField showAll="0"/>
    <pivotField dataField="1" showAll="0"/>
    <pivotField showAll="0"/>
    <pivotField showAll="0" defaultSubtotal="0"/>
    <pivotField showAll="0" defaultSubtotal="0"/>
  </pivotFields>
  <rowFields count="1">
    <field x="9"/>
  </rowFields>
  <rowItems count="3">
    <i>
      <x/>
    </i>
    <i>
      <x v="1"/>
    </i>
    <i t="grand">
      <x/>
    </i>
  </rowItems>
  <colItems count="1">
    <i/>
  </colItems>
  <dataFields count="1">
    <dataField name="Average of Processing_Days" fld="11" subtotal="average" baseField="9"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791001F-B637-4621-A296-7FEA84E31022}" name="PivotTable23" cacheId="38"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
  <location ref="H7:I10" firstHeaderRow="1" firstDataRow="1" firstDataCol="1"/>
  <pivotFields count="15">
    <pivotField dataField="1" showAll="0"/>
    <pivotField showAll="0"/>
    <pivotField showAll="0"/>
    <pivotField showAll="0"/>
    <pivotField showAll="0"/>
    <pivotField showAll="0"/>
    <pivotField showAll="0">
      <items count="3">
        <item x="0"/>
        <item x="1"/>
        <item t="default"/>
      </items>
    </pivotField>
    <pivotField numFmtId="14" showAll="0">
      <items count="355">
        <item x="49"/>
        <item x="14"/>
        <item x="210"/>
        <item x="194"/>
        <item x="103"/>
        <item x="226"/>
        <item x="248"/>
        <item x="25"/>
        <item x="145"/>
        <item x="124"/>
        <item x="111"/>
        <item x="166"/>
        <item x="312"/>
        <item x="137"/>
        <item x="252"/>
        <item x="237"/>
        <item x="213"/>
        <item x="245"/>
        <item x="39"/>
        <item x="286"/>
        <item x="281"/>
        <item x="176"/>
        <item x="4"/>
        <item x="52"/>
        <item x="262"/>
        <item x="167"/>
        <item x="37"/>
        <item x="258"/>
        <item x="158"/>
        <item x="256"/>
        <item x="163"/>
        <item x="188"/>
        <item x="340"/>
        <item x="9"/>
        <item x="20"/>
        <item x="5"/>
        <item x="346"/>
        <item x="154"/>
        <item x="345"/>
        <item x="132"/>
        <item x="224"/>
        <item x="63"/>
        <item x="343"/>
        <item x="203"/>
        <item x="238"/>
        <item x="220"/>
        <item x="328"/>
        <item x="353"/>
        <item x="219"/>
        <item x="107"/>
        <item x="218"/>
        <item x="33"/>
        <item x="0"/>
        <item x="272"/>
        <item x="54"/>
        <item x="114"/>
        <item x="318"/>
        <item x="221"/>
        <item x="13"/>
        <item x="287"/>
        <item x="267"/>
        <item x="55"/>
        <item x="47"/>
        <item x="48"/>
        <item x="117"/>
        <item x="93"/>
        <item x="182"/>
        <item x="184"/>
        <item x="174"/>
        <item x="181"/>
        <item x="273"/>
        <item x="164"/>
        <item x="112"/>
        <item x="321"/>
        <item x="140"/>
        <item x="304"/>
        <item x="116"/>
        <item x="270"/>
        <item x="296"/>
        <item x="42"/>
        <item x="15"/>
        <item x="322"/>
        <item x="266"/>
        <item x="228"/>
        <item x="261"/>
        <item x="339"/>
        <item x="253"/>
        <item x="88"/>
        <item x="242"/>
        <item x="325"/>
        <item x="259"/>
        <item x="338"/>
        <item x="79"/>
        <item x="149"/>
        <item x="349"/>
        <item x="197"/>
        <item x="53"/>
        <item x="66"/>
        <item x="155"/>
        <item x="342"/>
        <item x="336"/>
        <item x="186"/>
        <item x="200"/>
        <item x="260"/>
        <item x="315"/>
        <item x="58"/>
        <item x="76"/>
        <item x="320"/>
        <item x="8"/>
        <item x="208"/>
        <item x="138"/>
        <item x="85"/>
        <item x="251"/>
        <item x="280"/>
        <item x="292"/>
        <item x="30"/>
        <item x="41"/>
        <item x="94"/>
        <item x="201"/>
        <item x="314"/>
        <item x="34"/>
        <item x="10"/>
        <item x="348"/>
        <item x="87"/>
        <item x="285"/>
        <item x="101"/>
        <item x="179"/>
        <item x="235"/>
        <item x="153"/>
        <item x="38"/>
        <item x="105"/>
        <item x="96"/>
        <item x="217"/>
        <item x="302"/>
        <item x="290"/>
        <item x="160"/>
        <item x="303"/>
        <item x="2"/>
        <item x="335"/>
        <item x="36"/>
        <item x="341"/>
        <item x="333"/>
        <item x="177"/>
        <item x="162"/>
        <item x="78"/>
        <item x="317"/>
        <item x="150"/>
        <item x="175"/>
        <item x="35"/>
        <item x="204"/>
        <item x="205"/>
        <item x="43"/>
        <item x="16"/>
        <item x="240"/>
        <item x="173"/>
        <item x="241"/>
        <item x="57"/>
        <item x="310"/>
        <item x="71"/>
        <item x="122"/>
        <item x="306"/>
        <item x="236"/>
        <item x="125"/>
        <item x="51"/>
        <item x="3"/>
        <item x="23"/>
        <item x="351"/>
        <item x="319"/>
        <item x="75"/>
        <item x="185"/>
        <item x="254"/>
        <item x="214"/>
        <item x="143"/>
        <item x="311"/>
        <item x="202"/>
        <item x="40"/>
        <item x="77"/>
        <item x="92"/>
        <item x="298"/>
        <item x="169"/>
        <item x="120"/>
        <item x="152"/>
        <item x="136"/>
        <item x="350"/>
        <item x="133"/>
        <item x="244"/>
        <item x="62"/>
        <item x="102"/>
        <item x="212"/>
        <item x="323"/>
        <item x="222"/>
        <item x="60"/>
        <item x="313"/>
        <item x="206"/>
        <item x="301"/>
        <item x="110"/>
        <item x="347"/>
        <item x="26"/>
        <item x="91"/>
        <item x="74"/>
        <item x="329"/>
        <item x="89"/>
        <item x="250"/>
        <item x="191"/>
        <item x="108"/>
        <item x="81"/>
        <item x="141"/>
        <item x="59"/>
        <item x="17"/>
        <item x="324"/>
        <item x="56"/>
        <item x="67"/>
        <item x="22"/>
        <item x="68"/>
        <item x="291"/>
        <item x="316"/>
        <item x="187"/>
        <item x="121"/>
        <item x="109"/>
        <item x="271"/>
        <item x="265"/>
        <item x="70"/>
        <item x="234"/>
        <item x="6"/>
        <item x="97"/>
        <item x="147"/>
        <item x="294"/>
        <item x="24"/>
        <item x="106"/>
        <item x="157"/>
        <item x="178"/>
        <item x="126"/>
        <item x="139"/>
        <item x="190"/>
        <item x="199"/>
        <item x="337"/>
        <item x="156"/>
        <item x="278"/>
        <item x="95"/>
        <item x="276"/>
        <item x="330"/>
        <item x="293"/>
        <item x="229"/>
        <item x="331"/>
        <item x="198"/>
        <item x="334"/>
        <item x="239"/>
        <item x="1"/>
        <item x="119"/>
        <item x="11"/>
        <item x="255"/>
        <item x="326"/>
        <item x="275"/>
        <item x="18"/>
        <item x="327"/>
        <item x="46"/>
        <item x="282"/>
        <item x="189"/>
        <item x="144"/>
        <item x="135"/>
        <item x="29"/>
        <item x="171"/>
        <item x="257"/>
        <item x="232"/>
        <item x="69"/>
        <item x="21"/>
        <item x="28"/>
        <item x="284"/>
        <item x="146"/>
        <item x="288"/>
        <item x="168"/>
        <item x="195"/>
        <item x="19"/>
        <item x="73"/>
        <item x="130"/>
        <item x="131"/>
        <item x="165"/>
        <item x="61"/>
        <item x="31"/>
        <item x="274"/>
        <item x="86"/>
        <item x="247"/>
        <item x="215"/>
        <item x="142"/>
        <item x="80"/>
        <item x="104"/>
        <item x="44"/>
        <item x="249"/>
        <item x="231"/>
        <item x="277"/>
        <item x="82"/>
        <item x="309"/>
        <item x="230"/>
        <item x="127"/>
        <item x="352"/>
        <item x="283"/>
        <item x="192"/>
        <item x="128"/>
        <item x="45"/>
        <item x="225"/>
        <item x="100"/>
        <item x="243"/>
        <item x="113"/>
        <item x="308"/>
        <item x="263"/>
        <item x="269"/>
        <item x="344"/>
        <item x="115"/>
        <item x="305"/>
        <item x="227"/>
        <item x="289"/>
        <item x="216"/>
        <item x="99"/>
        <item x="7"/>
        <item x="332"/>
        <item x="180"/>
        <item x="161"/>
        <item x="279"/>
        <item x="129"/>
        <item x="264"/>
        <item x="193"/>
        <item x="64"/>
        <item x="246"/>
        <item x="148"/>
        <item x="300"/>
        <item x="299"/>
        <item x="83"/>
        <item x="90"/>
        <item x="118"/>
        <item x="295"/>
        <item x="65"/>
        <item x="32"/>
        <item x="172"/>
        <item x="50"/>
        <item x="134"/>
        <item x="151"/>
        <item x="12"/>
        <item x="268"/>
        <item x="307"/>
        <item x="233"/>
        <item x="84"/>
        <item x="209"/>
        <item x="98"/>
        <item x="211"/>
        <item x="27"/>
        <item x="196"/>
        <item x="183"/>
        <item x="72"/>
        <item x="123"/>
        <item x="297"/>
        <item x="207"/>
        <item x="159"/>
        <item x="223"/>
        <item x="170"/>
        <item t="default"/>
      </items>
    </pivotField>
    <pivotField showAll="0">
      <items count="15">
        <item x="0"/>
        <item x="1"/>
        <item x="2"/>
        <item x="3"/>
        <item x="4"/>
        <item x="5"/>
        <item x="6"/>
        <item x="7"/>
        <item x="8"/>
        <item x="9"/>
        <item x="10"/>
        <item x="11"/>
        <item x="12"/>
        <item x="13"/>
        <item t="default"/>
      </items>
    </pivotField>
    <pivotField axis="axisRow" showAll="0">
      <items count="3">
        <item x="1"/>
        <item x="0"/>
        <item t="default"/>
      </items>
    </pivotField>
    <pivotField showAll="0">
      <items count="7">
        <item x="3"/>
        <item x="2"/>
        <item x="0"/>
        <item x="4"/>
        <item h="1" x="5"/>
        <item x="1"/>
        <item t="default"/>
      </items>
    </pivotField>
    <pivotField showAll="0"/>
    <pivotField showAll="0"/>
    <pivotField showAll="0">
      <items count="7">
        <item x="0"/>
        <item x="1"/>
        <item x="2"/>
        <item x="3"/>
        <item x="4"/>
        <item x="5"/>
        <item t="default"/>
      </items>
    </pivotField>
    <pivotField showAll="0">
      <items count="5">
        <item x="0"/>
        <item x="1"/>
        <item x="2"/>
        <item x="3"/>
        <item t="default"/>
      </items>
    </pivotField>
  </pivotFields>
  <rowFields count="1">
    <field x="9"/>
  </rowFields>
  <rowItems count="3">
    <i>
      <x/>
    </i>
    <i>
      <x v="1"/>
    </i>
    <i t="grand">
      <x/>
    </i>
  </rowItems>
  <colItems count="1">
    <i/>
  </colItems>
  <dataFields count="1">
    <dataField name="Count of Claim_ID"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dateBetween" evalOrder="-1" id="169" name="Claim_Date">
      <autoFilter ref="A1">
        <filterColumn colId="0">
          <customFilters and="1">
            <customFilter operator="greaterThanOrEqual" val="45292"/>
            <customFilter operator="lessThanOrEqual" val="455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32B566-EE5B-4E88-B777-E2071D5E58CA}" name="PivotTable22" cacheId="38"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
  <location ref="E14:F24" firstHeaderRow="1" firstDataRow="1" firstDataCol="1"/>
  <pivotFields count="15">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showAll="0">
      <items count="7">
        <item x="1"/>
        <item x="0"/>
        <item x="5"/>
        <item x="4"/>
        <item x="2"/>
        <item x="3"/>
        <item t="default"/>
      </items>
    </pivotField>
    <pivotField showAll="0"/>
    <pivotField dataField="1" showAll="0"/>
    <pivotField showAll="0"/>
    <pivotField showAll="0">
      <items count="3">
        <item x="0"/>
        <item x="1"/>
        <item t="default"/>
      </items>
    </pivotField>
    <pivotField numFmtId="14" showAll="0">
      <items count="355">
        <item x="49"/>
        <item x="14"/>
        <item x="210"/>
        <item x="194"/>
        <item x="103"/>
        <item x="226"/>
        <item x="248"/>
        <item x="25"/>
        <item x="145"/>
        <item x="124"/>
        <item x="111"/>
        <item x="166"/>
        <item x="312"/>
        <item x="137"/>
        <item x="252"/>
        <item x="237"/>
        <item x="213"/>
        <item x="245"/>
        <item x="39"/>
        <item x="286"/>
        <item x="281"/>
        <item x="176"/>
        <item x="4"/>
        <item x="52"/>
        <item x="262"/>
        <item x="167"/>
        <item x="37"/>
        <item x="258"/>
        <item x="158"/>
        <item x="256"/>
        <item x="163"/>
        <item x="188"/>
        <item x="340"/>
        <item x="9"/>
        <item x="20"/>
        <item x="5"/>
        <item x="346"/>
        <item x="154"/>
        <item x="345"/>
        <item x="132"/>
        <item x="224"/>
        <item x="63"/>
        <item x="343"/>
        <item x="203"/>
        <item x="238"/>
        <item x="220"/>
        <item x="328"/>
        <item x="353"/>
        <item x="219"/>
        <item x="107"/>
        <item x="218"/>
        <item x="33"/>
        <item x="0"/>
        <item x="272"/>
        <item x="54"/>
        <item x="114"/>
        <item x="318"/>
        <item x="221"/>
        <item x="13"/>
        <item x="287"/>
        <item x="267"/>
        <item x="55"/>
        <item x="47"/>
        <item x="48"/>
        <item x="117"/>
        <item x="93"/>
        <item x="182"/>
        <item x="184"/>
        <item x="174"/>
        <item x="181"/>
        <item x="273"/>
        <item x="164"/>
        <item x="112"/>
        <item x="321"/>
        <item x="140"/>
        <item x="304"/>
        <item x="116"/>
        <item x="270"/>
        <item x="296"/>
        <item x="42"/>
        <item x="15"/>
        <item x="322"/>
        <item x="266"/>
        <item x="228"/>
        <item x="261"/>
        <item x="339"/>
        <item x="253"/>
        <item x="88"/>
        <item x="242"/>
        <item x="325"/>
        <item x="259"/>
        <item x="338"/>
        <item x="79"/>
        <item x="149"/>
        <item x="349"/>
        <item x="197"/>
        <item x="53"/>
        <item x="66"/>
        <item x="155"/>
        <item x="342"/>
        <item x="336"/>
        <item x="186"/>
        <item x="200"/>
        <item x="260"/>
        <item x="315"/>
        <item x="58"/>
        <item x="76"/>
        <item x="320"/>
        <item x="8"/>
        <item x="208"/>
        <item x="138"/>
        <item x="85"/>
        <item x="251"/>
        <item x="280"/>
        <item x="292"/>
        <item x="30"/>
        <item x="41"/>
        <item x="94"/>
        <item x="201"/>
        <item x="314"/>
        <item x="34"/>
        <item x="10"/>
        <item x="348"/>
        <item x="87"/>
        <item x="285"/>
        <item x="101"/>
        <item x="179"/>
        <item x="235"/>
        <item x="153"/>
        <item x="38"/>
        <item x="105"/>
        <item x="96"/>
        <item x="217"/>
        <item x="302"/>
        <item x="290"/>
        <item x="160"/>
        <item x="303"/>
        <item x="2"/>
        <item x="335"/>
        <item x="36"/>
        <item x="341"/>
        <item x="333"/>
        <item x="177"/>
        <item x="162"/>
        <item x="78"/>
        <item x="317"/>
        <item x="150"/>
        <item x="175"/>
        <item x="35"/>
        <item x="204"/>
        <item x="205"/>
        <item x="43"/>
        <item x="16"/>
        <item x="240"/>
        <item x="173"/>
        <item x="241"/>
        <item x="57"/>
        <item x="310"/>
        <item x="71"/>
        <item x="122"/>
        <item x="306"/>
        <item x="236"/>
        <item x="125"/>
        <item x="51"/>
        <item x="3"/>
        <item x="23"/>
        <item x="351"/>
        <item x="319"/>
        <item x="75"/>
        <item x="185"/>
        <item x="254"/>
        <item x="214"/>
        <item x="143"/>
        <item x="311"/>
        <item x="202"/>
        <item x="40"/>
        <item x="77"/>
        <item x="92"/>
        <item x="298"/>
        <item x="169"/>
        <item x="120"/>
        <item x="152"/>
        <item x="136"/>
        <item x="350"/>
        <item x="133"/>
        <item x="244"/>
        <item x="62"/>
        <item x="102"/>
        <item x="212"/>
        <item x="323"/>
        <item x="222"/>
        <item x="60"/>
        <item x="313"/>
        <item x="206"/>
        <item x="301"/>
        <item x="110"/>
        <item x="347"/>
        <item x="26"/>
        <item x="91"/>
        <item x="74"/>
        <item x="329"/>
        <item x="89"/>
        <item x="250"/>
        <item x="191"/>
        <item x="108"/>
        <item x="81"/>
        <item x="141"/>
        <item x="59"/>
        <item x="17"/>
        <item x="324"/>
        <item x="56"/>
        <item x="67"/>
        <item x="22"/>
        <item x="68"/>
        <item x="291"/>
        <item x="316"/>
        <item x="187"/>
        <item x="121"/>
        <item x="109"/>
        <item x="271"/>
        <item x="265"/>
        <item x="70"/>
        <item x="234"/>
        <item x="6"/>
        <item x="97"/>
        <item x="147"/>
        <item x="294"/>
        <item x="24"/>
        <item x="106"/>
        <item x="157"/>
        <item x="178"/>
        <item x="126"/>
        <item x="139"/>
        <item x="190"/>
        <item x="199"/>
        <item x="337"/>
        <item x="156"/>
        <item x="278"/>
        <item x="95"/>
        <item x="276"/>
        <item x="330"/>
        <item x="293"/>
        <item x="229"/>
        <item x="331"/>
        <item x="198"/>
        <item x="334"/>
        <item x="239"/>
        <item x="1"/>
        <item x="119"/>
        <item x="11"/>
        <item x="255"/>
        <item x="326"/>
        <item x="275"/>
        <item x="18"/>
        <item x="327"/>
        <item x="46"/>
        <item x="282"/>
        <item x="189"/>
        <item x="144"/>
        <item x="135"/>
        <item x="29"/>
        <item x="171"/>
        <item x="257"/>
        <item x="232"/>
        <item x="69"/>
        <item x="21"/>
        <item x="28"/>
        <item x="284"/>
        <item x="146"/>
        <item x="288"/>
        <item x="168"/>
        <item x="195"/>
        <item x="19"/>
        <item x="73"/>
        <item x="130"/>
        <item x="131"/>
        <item x="165"/>
        <item x="61"/>
        <item x="31"/>
        <item x="274"/>
        <item x="86"/>
        <item x="247"/>
        <item x="215"/>
        <item x="142"/>
        <item x="80"/>
        <item x="104"/>
        <item x="44"/>
        <item x="249"/>
        <item x="231"/>
        <item x="277"/>
        <item x="82"/>
        <item x="309"/>
        <item x="230"/>
        <item x="127"/>
        <item x="352"/>
        <item x="283"/>
        <item x="192"/>
        <item x="128"/>
        <item x="45"/>
        <item x="225"/>
        <item x="100"/>
        <item x="243"/>
        <item x="113"/>
        <item x="308"/>
        <item x="263"/>
        <item x="269"/>
        <item x="344"/>
        <item x="115"/>
        <item x="305"/>
        <item x="227"/>
        <item x="289"/>
        <item x="216"/>
        <item x="99"/>
        <item x="7"/>
        <item x="332"/>
        <item x="180"/>
        <item x="161"/>
        <item x="279"/>
        <item x="129"/>
        <item x="264"/>
        <item x="193"/>
        <item x="64"/>
        <item x="246"/>
        <item x="148"/>
        <item x="300"/>
        <item x="299"/>
        <item x="83"/>
        <item x="90"/>
        <item x="118"/>
        <item x="295"/>
        <item x="65"/>
        <item x="32"/>
        <item x="172"/>
        <item x="50"/>
        <item x="134"/>
        <item x="151"/>
        <item x="12"/>
        <item x="268"/>
        <item x="307"/>
        <item x="233"/>
        <item x="84"/>
        <item x="209"/>
        <item x="98"/>
        <item x="211"/>
        <item x="27"/>
        <item x="196"/>
        <item x="183"/>
        <item x="72"/>
        <item x="123"/>
        <item x="297"/>
        <item x="207"/>
        <item x="159"/>
        <item x="223"/>
        <item x="170"/>
        <item t="default"/>
      </items>
    </pivotField>
    <pivotField showAll="0">
      <items count="15">
        <item x="0"/>
        <item x="1"/>
        <item x="2"/>
        <item x="3"/>
        <item x="4"/>
        <item x="5"/>
        <item x="6"/>
        <item x="7"/>
        <item x="8"/>
        <item x="9"/>
        <item x="10"/>
        <item x="11"/>
        <item x="12"/>
        <item x="13"/>
        <item t="default"/>
      </items>
    </pivotField>
    <pivotField showAll="0">
      <items count="3">
        <item x="1"/>
        <item x="0"/>
        <item t="default"/>
      </items>
    </pivotField>
    <pivotField showAll="0">
      <items count="7">
        <item x="3"/>
        <item x="2"/>
        <item x="0"/>
        <item x="4"/>
        <item h="1" x="5"/>
        <item x="1"/>
        <item t="default"/>
      </items>
    </pivotField>
    <pivotField showAll="0"/>
    <pivotField axis="axisRow" showAll="0">
      <items count="13">
        <item x="4"/>
        <item x="0"/>
        <item x="9"/>
        <item x="7"/>
        <item x="2"/>
        <item x="3"/>
        <item x="11"/>
        <item x="5"/>
        <item x="1"/>
        <item x="10"/>
        <item x="6"/>
        <item x="8"/>
        <item t="default"/>
      </items>
    </pivotField>
    <pivotField showAll="0">
      <items count="7">
        <item x="0"/>
        <item x="1"/>
        <item x="2"/>
        <item x="3"/>
        <item x="4"/>
        <item x="5"/>
        <item t="default"/>
      </items>
    </pivotField>
    <pivotField showAll="0">
      <items count="5">
        <item x="0"/>
        <item x="1"/>
        <item x="2"/>
        <item x="3"/>
        <item t="default"/>
      </items>
    </pivotField>
  </pivotFields>
  <rowFields count="1">
    <field x="12"/>
  </rowFields>
  <rowItems count="10">
    <i>
      <x/>
    </i>
    <i>
      <x v="1"/>
    </i>
    <i>
      <x v="2"/>
    </i>
    <i>
      <x v="3"/>
    </i>
    <i>
      <x v="4"/>
    </i>
    <i>
      <x v="5"/>
    </i>
    <i>
      <x v="6"/>
    </i>
    <i>
      <x v="7"/>
    </i>
    <i>
      <x v="8"/>
    </i>
    <i t="grand">
      <x/>
    </i>
  </rowItems>
  <colItems count="1">
    <i/>
  </colItems>
  <dataFields count="1">
    <dataField name="Sum of Claim_Amount" fld="4" baseField="12" baseItem="0" numFmtId="166"/>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dateBetween" evalOrder="-1" id="169" name="Claim_Date">
      <autoFilter ref="A1">
        <filterColumn colId="0">
          <customFilters and="1">
            <customFilter operator="greaterThanOrEqual" val="45292"/>
            <customFilter operator="lessThanOrEqual" val="455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36C57DC-A18A-4890-BE44-8C4163C10536}" name="PivotTable21" cacheId="38"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E3:F10" firstHeaderRow="1" firstDataRow="1" firstDataCol="1"/>
  <pivotFields count="15">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axis="axisRow" showAll="0">
      <items count="7">
        <item x="1"/>
        <item x="0"/>
        <item x="5"/>
        <item x="4"/>
        <item x="2"/>
        <item x="3"/>
        <item t="default"/>
      </items>
    </pivotField>
    <pivotField showAll="0"/>
    <pivotField dataField="1" showAll="0"/>
    <pivotField showAll="0"/>
    <pivotField showAll="0">
      <items count="3">
        <item x="0"/>
        <item x="1"/>
        <item t="default"/>
      </items>
    </pivotField>
    <pivotField numFmtId="14" showAll="0">
      <items count="355">
        <item x="49"/>
        <item x="14"/>
        <item x="210"/>
        <item x="194"/>
        <item x="103"/>
        <item x="226"/>
        <item x="248"/>
        <item x="25"/>
        <item x="145"/>
        <item x="124"/>
        <item x="111"/>
        <item x="166"/>
        <item x="312"/>
        <item x="137"/>
        <item x="252"/>
        <item x="237"/>
        <item x="213"/>
        <item x="245"/>
        <item x="39"/>
        <item x="286"/>
        <item x="281"/>
        <item x="176"/>
        <item x="4"/>
        <item x="52"/>
        <item x="262"/>
        <item x="167"/>
        <item x="37"/>
        <item x="258"/>
        <item x="158"/>
        <item x="256"/>
        <item x="163"/>
        <item x="188"/>
        <item x="340"/>
        <item x="9"/>
        <item x="20"/>
        <item x="5"/>
        <item x="346"/>
        <item x="154"/>
        <item x="345"/>
        <item x="132"/>
        <item x="224"/>
        <item x="63"/>
        <item x="343"/>
        <item x="203"/>
        <item x="238"/>
        <item x="220"/>
        <item x="328"/>
        <item x="353"/>
        <item x="219"/>
        <item x="107"/>
        <item x="218"/>
        <item x="33"/>
        <item x="0"/>
        <item x="272"/>
        <item x="54"/>
        <item x="114"/>
        <item x="318"/>
        <item x="221"/>
        <item x="13"/>
        <item x="287"/>
        <item x="267"/>
        <item x="55"/>
        <item x="47"/>
        <item x="48"/>
        <item x="117"/>
        <item x="93"/>
        <item x="182"/>
        <item x="184"/>
        <item x="174"/>
        <item x="181"/>
        <item x="273"/>
        <item x="164"/>
        <item x="112"/>
        <item x="321"/>
        <item x="140"/>
        <item x="304"/>
        <item x="116"/>
        <item x="270"/>
        <item x="296"/>
        <item x="42"/>
        <item x="15"/>
        <item x="322"/>
        <item x="266"/>
        <item x="228"/>
        <item x="261"/>
        <item x="339"/>
        <item x="253"/>
        <item x="88"/>
        <item x="242"/>
        <item x="325"/>
        <item x="259"/>
        <item x="338"/>
        <item x="79"/>
        <item x="149"/>
        <item x="349"/>
        <item x="197"/>
        <item x="53"/>
        <item x="66"/>
        <item x="155"/>
        <item x="342"/>
        <item x="336"/>
        <item x="186"/>
        <item x="200"/>
        <item x="260"/>
        <item x="315"/>
        <item x="58"/>
        <item x="76"/>
        <item x="320"/>
        <item x="8"/>
        <item x="208"/>
        <item x="138"/>
        <item x="85"/>
        <item x="251"/>
        <item x="280"/>
        <item x="292"/>
        <item x="30"/>
        <item x="41"/>
        <item x="94"/>
        <item x="201"/>
        <item x="314"/>
        <item x="34"/>
        <item x="10"/>
        <item x="348"/>
        <item x="87"/>
        <item x="285"/>
        <item x="101"/>
        <item x="179"/>
        <item x="235"/>
        <item x="153"/>
        <item x="38"/>
        <item x="105"/>
        <item x="96"/>
        <item x="217"/>
        <item x="302"/>
        <item x="290"/>
        <item x="160"/>
        <item x="303"/>
        <item x="2"/>
        <item x="335"/>
        <item x="36"/>
        <item x="341"/>
        <item x="333"/>
        <item x="177"/>
        <item x="162"/>
        <item x="78"/>
        <item x="317"/>
        <item x="150"/>
        <item x="175"/>
        <item x="35"/>
        <item x="204"/>
        <item x="205"/>
        <item x="43"/>
        <item x="16"/>
        <item x="240"/>
        <item x="173"/>
        <item x="241"/>
        <item x="57"/>
        <item x="310"/>
        <item x="71"/>
        <item x="122"/>
        <item x="306"/>
        <item x="236"/>
        <item x="125"/>
        <item x="51"/>
        <item x="3"/>
        <item x="23"/>
        <item x="351"/>
        <item x="319"/>
        <item x="75"/>
        <item x="185"/>
        <item x="254"/>
        <item x="214"/>
        <item x="143"/>
        <item x="311"/>
        <item x="202"/>
        <item x="40"/>
        <item x="77"/>
        <item x="92"/>
        <item x="298"/>
        <item x="169"/>
        <item x="120"/>
        <item x="152"/>
        <item x="136"/>
        <item x="350"/>
        <item x="133"/>
        <item x="244"/>
        <item x="62"/>
        <item x="102"/>
        <item x="212"/>
        <item x="323"/>
        <item x="222"/>
        <item x="60"/>
        <item x="313"/>
        <item x="206"/>
        <item x="301"/>
        <item x="110"/>
        <item x="347"/>
        <item x="26"/>
        <item x="91"/>
        <item x="74"/>
        <item x="329"/>
        <item x="89"/>
        <item x="250"/>
        <item x="191"/>
        <item x="108"/>
        <item x="81"/>
        <item x="141"/>
        <item x="59"/>
        <item x="17"/>
        <item x="324"/>
        <item x="56"/>
        <item x="67"/>
        <item x="22"/>
        <item x="68"/>
        <item x="291"/>
        <item x="316"/>
        <item x="187"/>
        <item x="121"/>
        <item x="109"/>
        <item x="271"/>
        <item x="265"/>
        <item x="70"/>
        <item x="234"/>
        <item x="6"/>
        <item x="97"/>
        <item x="147"/>
        <item x="294"/>
        <item x="24"/>
        <item x="106"/>
        <item x="157"/>
        <item x="178"/>
        <item x="126"/>
        <item x="139"/>
        <item x="190"/>
        <item x="199"/>
        <item x="337"/>
        <item x="156"/>
        <item x="278"/>
        <item x="95"/>
        <item x="276"/>
        <item x="330"/>
        <item x="293"/>
        <item x="229"/>
        <item x="331"/>
        <item x="198"/>
        <item x="334"/>
        <item x="239"/>
        <item x="1"/>
        <item x="119"/>
        <item x="11"/>
        <item x="255"/>
        <item x="326"/>
        <item x="275"/>
        <item x="18"/>
        <item x="327"/>
        <item x="46"/>
        <item x="282"/>
        <item x="189"/>
        <item x="144"/>
        <item x="135"/>
        <item x="29"/>
        <item x="171"/>
        <item x="257"/>
        <item x="232"/>
        <item x="69"/>
        <item x="21"/>
        <item x="28"/>
        <item x="284"/>
        <item x="146"/>
        <item x="288"/>
        <item x="168"/>
        <item x="195"/>
        <item x="19"/>
        <item x="73"/>
        <item x="130"/>
        <item x="131"/>
        <item x="165"/>
        <item x="61"/>
        <item x="31"/>
        <item x="274"/>
        <item x="86"/>
        <item x="247"/>
        <item x="215"/>
        <item x="142"/>
        <item x="80"/>
        <item x="104"/>
        <item x="44"/>
        <item x="249"/>
        <item x="231"/>
        <item x="277"/>
        <item x="82"/>
        <item x="309"/>
        <item x="230"/>
        <item x="127"/>
        <item x="352"/>
        <item x="283"/>
        <item x="192"/>
        <item x="128"/>
        <item x="45"/>
        <item x="225"/>
        <item x="100"/>
        <item x="243"/>
        <item x="113"/>
        <item x="308"/>
        <item x="263"/>
        <item x="269"/>
        <item x="344"/>
        <item x="115"/>
        <item x="305"/>
        <item x="227"/>
        <item x="289"/>
        <item x="216"/>
        <item x="99"/>
        <item x="7"/>
        <item x="332"/>
        <item x="180"/>
        <item x="161"/>
        <item x="279"/>
        <item x="129"/>
        <item x="264"/>
        <item x="193"/>
        <item x="64"/>
        <item x="246"/>
        <item x="148"/>
        <item x="300"/>
        <item x="299"/>
        <item x="83"/>
        <item x="90"/>
        <item x="118"/>
        <item x="295"/>
        <item x="65"/>
        <item x="32"/>
        <item x="172"/>
        <item x="50"/>
        <item x="134"/>
        <item x="151"/>
        <item x="12"/>
        <item x="268"/>
        <item x="307"/>
        <item x="233"/>
        <item x="84"/>
        <item x="209"/>
        <item x="98"/>
        <item x="211"/>
        <item x="27"/>
        <item x="196"/>
        <item x="183"/>
        <item x="72"/>
        <item x="123"/>
        <item x="297"/>
        <item x="207"/>
        <item x="159"/>
        <item x="223"/>
        <item x="170"/>
        <item t="default"/>
      </items>
    </pivotField>
    <pivotField showAll="0">
      <items count="15">
        <item x="0"/>
        <item x="1"/>
        <item x="2"/>
        <item x="3"/>
        <item x="4"/>
        <item x="5"/>
        <item x="6"/>
        <item x="7"/>
        <item x="8"/>
        <item x="9"/>
        <item x="10"/>
        <item x="11"/>
        <item x="12"/>
        <item x="13"/>
        <item t="default"/>
      </items>
    </pivotField>
    <pivotField showAll="0">
      <items count="3">
        <item x="1"/>
        <item x="0"/>
        <item t="default"/>
      </items>
    </pivotField>
    <pivotField showAll="0">
      <items count="7">
        <item x="3"/>
        <item x="2"/>
        <item x="0"/>
        <item x="4"/>
        <item h="1" x="5"/>
        <item x="1"/>
        <item t="default"/>
      </items>
    </pivotField>
    <pivotField showAll="0"/>
    <pivotField showAll="0"/>
    <pivotField showAll="0">
      <items count="7">
        <item x="0"/>
        <item x="1"/>
        <item x="2"/>
        <item x="3"/>
        <item x="4"/>
        <item x="5"/>
        <item t="default"/>
      </items>
    </pivotField>
    <pivotField showAll="0">
      <items count="5">
        <item x="0"/>
        <item x="1"/>
        <item x="2"/>
        <item x="3"/>
        <item t="default"/>
      </items>
    </pivotField>
  </pivotFields>
  <rowFields count="1">
    <field x="2"/>
  </rowFields>
  <rowItems count="7">
    <i>
      <x/>
    </i>
    <i>
      <x v="1"/>
    </i>
    <i>
      <x v="2"/>
    </i>
    <i>
      <x v="3"/>
    </i>
    <i>
      <x v="4"/>
    </i>
    <i>
      <x v="5"/>
    </i>
    <i t="grand">
      <x/>
    </i>
  </rowItems>
  <colItems count="1">
    <i/>
  </colItems>
  <dataFields count="1">
    <dataField name="Sum of Claim_Amount" fld="4" baseField="2" baseItem="0" numFmtId="166"/>
  </dataFields>
  <pivotTableStyleInfo name="PivotStyleLight16" showRowHeaders="1" showColHeaders="1" showRowStripes="0" showColStripes="0" showLastColumn="1"/>
  <filters count="1">
    <filter fld="7" type="dateBetween" evalOrder="-1" id="169" name="Claim_Date">
      <autoFilter ref="A1">
        <filterColumn colId="0">
          <customFilters and="1">
            <customFilter operator="greaterThanOrEqual" val="45292"/>
            <customFilter operator="lessThanOrEqual" val="455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D50EF6-861E-482E-86BA-00FA37AFFFCB}" name="PivotTable16" cacheId="38"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5" fieldListSortAscending="1">
  <location ref="A10:B16" firstHeaderRow="1" firstDataRow="1" firstDataCol="1"/>
  <pivotFields count="15">
    <pivotField showAll="0"/>
    <pivotField showAll="0"/>
    <pivotField showAll="0"/>
    <pivotField showAll="0"/>
    <pivotField showAll="0"/>
    <pivotField dataField="1" showAll="0"/>
    <pivotField showAll="0">
      <items count="3">
        <item x="0"/>
        <item x="1"/>
        <item t="default"/>
      </items>
    </pivotField>
    <pivotField numFmtId="14" showAll="0">
      <items count="355">
        <item x="49"/>
        <item x="14"/>
        <item x="210"/>
        <item x="194"/>
        <item x="103"/>
        <item x="226"/>
        <item x="248"/>
        <item x="25"/>
        <item x="145"/>
        <item x="124"/>
        <item x="111"/>
        <item x="166"/>
        <item x="312"/>
        <item x="137"/>
        <item x="252"/>
        <item x="237"/>
        <item x="213"/>
        <item x="245"/>
        <item x="39"/>
        <item x="286"/>
        <item x="281"/>
        <item x="176"/>
        <item x="4"/>
        <item x="52"/>
        <item x="262"/>
        <item x="167"/>
        <item x="37"/>
        <item x="258"/>
        <item x="158"/>
        <item x="256"/>
        <item x="163"/>
        <item x="188"/>
        <item x="340"/>
        <item x="9"/>
        <item x="20"/>
        <item x="5"/>
        <item x="346"/>
        <item x="154"/>
        <item x="345"/>
        <item x="132"/>
        <item x="224"/>
        <item x="63"/>
        <item x="343"/>
        <item x="203"/>
        <item x="238"/>
        <item x="220"/>
        <item x="328"/>
        <item x="353"/>
        <item x="219"/>
        <item x="107"/>
        <item x="218"/>
        <item x="33"/>
        <item x="0"/>
        <item x="272"/>
        <item x="54"/>
        <item x="114"/>
        <item x="318"/>
        <item x="221"/>
        <item x="13"/>
        <item x="287"/>
        <item x="267"/>
        <item x="55"/>
        <item x="47"/>
        <item x="48"/>
        <item x="117"/>
        <item x="93"/>
        <item x="182"/>
        <item x="184"/>
        <item x="174"/>
        <item x="181"/>
        <item x="273"/>
        <item x="164"/>
        <item x="112"/>
        <item x="321"/>
        <item x="140"/>
        <item x="304"/>
        <item x="116"/>
        <item x="270"/>
        <item x="296"/>
        <item x="42"/>
        <item x="15"/>
        <item x="322"/>
        <item x="266"/>
        <item x="228"/>
        <item x="261"/>
        <item x="339"/>
        <item x="253"/>
        <item x="88"/>
        <item x="242"/>
        <item x="325"/>
        <item x="259"/>
        <item x="338"/>
        <item x="79"/>
        <item x="149"/>
        <item x="349"/>
        <item x="197"/>
        <item x="53"/>
        <item x="66"/>
        <item x="155"/>
        <item x="342"/>
        <item x="336"/>
        <item x="186"/>
        <item x="200"/>
        <item x="260"/>
        <item x="315"/>
        <item x="58"/>
        <item x="76"/>
        <item x="320"/>
        <item x="8"/>
        <item x="208"/>
        <item x="138"/>
        <item x="85"/>
        <item x="251"/>
        <item x="280"/>
        <item x="292"/>
        <item x="30"/>
        <item x="41"/>
        <item x="94"/>
        <item x="201"/>
        <item x="314"/>
        <item x="34"/>
        <item x="10"/>
        <item x="348"/>
        <item x="87"/>
        <item x="285"/>
        <item x="101"/>
        <item x="179"/>
        <item x="235"/>
        <item x="153"/>
        <item x="38"/>
        <item x="105"/>
        <item x="96"/>
        <item x="217"/>
        <item x="302"/>
        <item x="290"/>
        <item x="160"/>
        <item x="303"/>
        <item x="2"/>
        <item x="335"/>
        <item x="36"/>
        <item x="341"/>
        <item x="333"/>
        <item x="177"/>
        <item x="162"/>
        <item x="78"/>
        <item x="317"/>
        <item x="150"/>
        <item x="175"/>
        <item x="35"/>
        <item x="204"/>
        <item x="205"/>
        <item x="43"/>
        <item x="16"/>
        <item x="240"/>
        <item x="173"/>
        <item x="241"/>
        <item x="57"/>
        <item x="310"/>
        <item x="71"/>
        <item x="122"/>
        <item x="306"/>
        <item x="236"/>
        <item x="125"/>
        <item x="51"/>
        <item x="3"/>
        <item x="23"/>
        <item x="351"/>
        <item x="319"/>
        <item x="75"/>
        <item x="185"/>
        <item x="254"/>
        <item x="214"/>
        <item x="143"/>
        <item x="311"/>
        <item x="202"/>
        <item x="40"/>
        <item x="77"/>
        <item x="92"/>
        <item x="298"/>
        <item x="169"/>
        <item x="120"/>
        <item x="152"/>
        <item x="136"/>
        <item x="350"/>
        <item x="133"/>
        <item x="244"/>
        <item x="62"/>
        <item x="102"/>
        <item x="212"/>
        <item x="323"/>
        <item x="222"/>
        <item x="60"/>
        <item x="313"/>
        <item x="206"/>
        <item x="301"/>
        <item x="110"/>
        <item x="347"/>
        <item x="26"/>
        <item x="91"/>
        <item x="74"/>
        <item x="329"/>
        <item x="89"/>
        <item x="250"/>
        <item x="191"/>
        <item x="108"/>
        <item x="81"/>
        <item x="141"/>
        <item x="59"/>
        <item x="17"/>
        <item x="324"/>
        <item x="56"/>
        <item x="67"/>
        <item x="22"/>
        <item x="68"/>
        <item x="291"/>
        <item x="316"/>
        <item x="187"/>
        <item x="121"/>
        <item x="109"/>
        <item x="271"/>
        <item x="265"/>
        <item x="70"/>
        <item x="234"/>
        <item x="6"/>
        <item x="97"/>
        <item x="147"/>
        <item x="294"/>
        <item x="24"/>
        <item x="106"/>
        <item x="157"/>
        <item x="178"/>
        <item x="126"/>
        <item x="139"/>
        <item x="190"/>
        <item x="199"/>
        <item x="337"/>
        <item x="156"/>
        <item x="278"/>
        <item x="95"/>
        <item x="276"/>
        <item x="330"/>
        <item x="293"/>
        <item x="229"/>
        <item x="331"/>
        <item x="198"/>
        <item x="334"/>
        <item x="239"/>
        <item x="1"/>
        <item x="119"/>
        <item x="11"/>
        <item x="255"/>
        <item x="326"/>
        <item x="275"/>
        <item x="18"/>
        <item x="327"/>
        <item x="46"/>
        <item x="282"/>
        <item x="189"/>
        <item x="144"/>
        <item x="135"/>
        <item x="29"/>
        <item x="171"/>
        <item x="257"/>
        <item x="232"/>
        <item x="69"/>
        <item x="21"/>
        <item x="28"/>
        <item x="284"/>
        <item x="146"/>
        <item x="288"/>
        <item x="168"/>
        <item x="195"/>
        <item x="19"/>
        <item x="73"/>
        <item x="130"/>
        <item x="131"/>
        <item x="165"/>
        <item x="61"/>
        <item x="31"/>
        <item x="274"/>
        <item x="86"/>
        <item x="247"/>
        <item x="215"/>
        <item x="142"/>
        <item x="80"/>
        <item x="104"/>
        <item x="44"/>
        <item x="249"/>
        <item x="231"/>
        <item x="277"/>
        <item x="82"/>
        <item x="309"/>
        <item x="230"/>
        <item x="127"/>
        <item x="352"/>
        <item x="283"/>
        <item x="192"/>
        <item x="128"/>
        <item x="45"/>
        <item x="225"/>
        <item x="100"/>
        <item x="243"/>
        <item x="113"/>
        <item x="308"/>
        <item x="263"/>
        <item x="269"/>
        <item x="344"/>
        <item x="115"/>
        <item x="305"/>
        <item x="227"/>
        <item x="289"/>
        <item x="216"/>
        <item x="99"/>
        <item x="7"/>
        <item x="332"/>
        <item x="180"/>
        <item x="161"/>
        <item x="279"/>
        <item x="129"/>
        <item x="264"/>
        <item x="193"/>
        <item x="64"/>
        <item x="246"/>
        <item x="148"/>
        <item x="300"/>
        <item x="299"/>
        <item x="83"/>
        <item x="90"/>
        <item x="118"/>
        <item x="295"/>
        <item x="65"/>
        <item x="32"/>
        <item x="172"/>
        <item x="50"/>
        <item x="134"/>
        <item x="151"/>
        <item x="12"/>
        <item x="268"/>
        <item x="307"/>
        <item x="233"/>
        <item x="84"/>
        <item x="209"/>
        <item x="98"/>
        <item x="211"/>
        <item x="27"/>
        <item x="196"/>
        <item x="183"/>
        <item x="72"/>
        <item x="123"/>
        <item x="297"/>
        <item x="207"/>
        <item x="159"/>
        <item x="223"/>
        <item x="170"/>
        <item t="default"/>
      </items>
    </pivotField>
    <pivotField showAll="0">
      <items count="15">
        <item x="0"/>
        <item x="1"/>
        <item x="2"/>
        <item x="3"/>
        <item x="4"/>
        <item x="5"/>
        <item x="6"/>
        <item x="7"/>
        <item x="8"/>
        <item x="9"/>
        <item x="10"/>
        <item x="11"/>
        <item x="12"/>
        <item x="13"/>
        <item t="default"/>
      </items>
    </pivotField>
    <pivotField showAll="0">
      <items count="3">
        <item x="1"/>
        <item x="0"/>
        <item t="default"/>
      </items>
    </pivotField>
    <pivotField axis="axisRow" showAll="0">
      <items count="7">
        <item x="3"/>
        <item x="2"/>
        <item x="0"/>
        <item x="4"/>
        <item h="1" x="5"/>
        <item x="1"/>
        <item t="default"/>
      </items>
    </pivotField>
    <pivotField showAll="0"/>
    <pivotField showAll="0"/>
    <pivotField showAll="0">
      <items count="7">
        <item x="0"/>
        <item x="1"/>
        <item x="2"/>
        <item x="3"/>
        <item x="4"/>
        <item x="5"/>
        <item t="default"/>
      </items>
    </pivotField>
    <pivotField showAll="0">
      <items count="5">
        <item x="0"/>
        <item x="1"/>
        <item x="2"/>
        <item x="3"/>
        <item t="default"/>
      </items>
    </pivotField>
  </pivotFields>
  <rowFields count="1">
    <field x="10"/>
  </rowFields>
  <rowItems count="6">
    <i>
      <x/>
    </i>
    <i>
      <x v="1"/>
    </i>
    <i>
      <x v="2"/>
    </i>
    <i>
      <x v="3"/>
    </i>
    <i>
      <x v="5"/>
    </i>
    <i t="grand">
      <x/>
    </i>
  </rowItems>
  <colItems count="1">
    <i/>
  </colItems>
  <dataFields count="1">
    <dataField name="Sum of Approved_Amount" fld="5" baseField="10" baseItem="0" numFmtId="164"/>
  </dataFields>
  <formats count="2">
    <format dxfId="0">
      <pivotArea collapsedLevelsAreSubtotals="1" fieldPosition="0">
        <references count="1">
          <reference field="10" count="0"/>
        </references>
      </pivotArea>
    </format>
    <format dxfId="1">
      <pivotArea grandRow="1" outline="0" collapsedLevelsAreSubtotals="1" fieldPosition="0"/>
    </format>
  </formats>
  <pivotTableStyleInfo name="PivotStyleLight16" showRowHeaders="1" showColHeaders="1" showRowStripes="0" showColStripes="0" showLastColumn="1"/>
  <filters count="1">
    <filter fld="7" type="dateBetween" evalOrder="-1" id="169" name="Claim_Date">
      <autoFilter ref="A1">
        <filterColumn colId="0">
          <customFilters and="1">
            <customFilter operator="greaterThanOrEqual" val="45292"/>
            <customFilter operator="lessThanOrEqual" val="455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CAF5617-8887-4FA9-BADC-9CAED32EBA73}" name="PivotTable14" cacheId="38"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
  <location ref="A21:B27" firstHeaderRow="1" firstDataRow="1" firstDataCol="1"/>
  <pivotFields count="15">
    <pivotField dataField="1" showAll="0"/>
    <pivotField showAll="0"/>
    <pivotField showAll="0"/>
    <pivotField showAll="0"/>
    <pivotField showAll="0"/>
    <pivotField showAll="0"/>
    <pivotField showAll="0">
      <items count="3">
        <item x="0"/>
        <item x="1"/>
        <item t="default"/>
      </items>
    </pivotField>
    <pivotField numFmtId="14" showAll="0">
      <items count="355">
        <item x="49"/>
        <item x="14"/>
        <item x="210"/>
        <item x="194"/>
        <item x="103"/>
        <item x="226"/>
        <item x="248"/>
        <item x="25"/>
        <item x="145"/>
        <item x="124"/>
        <item x="111"/>
        <item x="166"/>
        <item x="312"/>
        <item x="137"/>
        <item x="252"/>
        <item x="237"/>
        <item x="213"/>
        <item x="245"/>
        <item x="39"/>
        <item x="286"/>
        <item x="281"/>
        <item x="176"/>
        <item x="4"/>
        <item x="52"/>
        <item x="262"/>
        <item x="167"/>
        <item x="37"/>
        <item x="258"/>
        <item x="158"/>
        <item x="256"/>
        <item x="163"/>
        <item x="188"/>
        <item x="340"/>
        <item x="9"/>
        <item x="20"/>
        <item x="5"/>
        <item x="346"/>
        <item x="154"/>
        <item x="345"/>
        <item x="132"/>
        <item x="224"/>
        <item x="63"/>
        <item x="343"/>
        <item x="203"/>
        <item x="238"/>
        <item x="220"/>
        <item x="328"/>
        <item x="353"/>
        <item x="219"/>
        <item x="107"/>
        <item x="218"/>
        <item x="33"/>
        <item x="0"/>
        <item x="272"/>
        <item x="54"/>
        <item x="114"/>
        <item x="318"/>
        <item x="221"/>
        <item x="13"/>
        <item x="287"/>
        <item x="267"/>
        <item x="55"/>
        <item x="47"/>
        <item x="48"/>
        <item x="117"/>
        <item x="93"/>
        <item x="182"/>
        <item x="184"/>
        <item x="174"/>
        <item x="181"/>
        <item x="273"/>
        <item x="164"/>
        <item x="112"/>
        <item x="321"/>
        <item x="140"/>
        <item x="304"/>
        <item x="116"/>
        <item x="270"/>
        <item x="296"/>
        <item x="42"/>
        <item x="15"/>
        <item x="322"/>
        <item x="266"/>
        <item x="228"/>
        <item x="261"/>
        <item x="339"/>
        <item x="253"/>
        <item x="88"/>
        <item x="242"/>
        <item x="325"/>
        <item x="259"/>
        <item x="338"/>
        <item x="79"/>
        <item x="149"/>
        <item x="349"/>
        <item x="197"/>
        <item x="53"/>
        <item x="66"/>
        <item x="155"/>
        <item x="342"/>
        <item x="336"/>
        <item x="186"/>
        <item x="200"/>
        <item x="260"/>
        <item x="315"/>
        <item x="58"/>
        <item x="76"/>
        <item x="320"/>
        <item x="8"/>
        <item x="208"/>
        <item x="138"/>
        <item x="85"/>
        <item x="251"/>
        <item x="280"/>
        <item x="292"/>
        <item x="30"/>
        <item x="41"/>
        <item x="94"/>
        <item x="201"/>
        <item x="314"/>
        <item x="34"/>
        <item x="10"/>
        <item x="348"/>
        <item x="87"/>
        <item x="285"/>
        <item x="101"/>
        <item x="179"/>
        <item x="235"/>
        <item x="153"/>
        <item x="38"/>
        <item x="105"/>
        <item x="96"/>
        <item x="217"/>
        <item x="302"/>
        <item x="290"/>
        <item x="160"/>
        <item x="303"/>
        <item x="2"/>
        <item x="335"/>
        <item x="36"/>
        <item x="341"/>
        <item x="333"/>
        <item x="177"/>
        <item x="162"/>
        <item x="78"/>
        <item x="317"/>
        <item x="150"/>
        <item x="175"/>
        <item x="35"/>
        <item x="204"/>
        <item x="205"/>
        <item x="43"/>
        <item x="16"/>
        <item x="240"/>
        <item x="173"/>
        <item x="241"/>
        <item x="57"/>
        <item x="310"/>
        <item x="71"/>
        <item x="122"/>
        <item x="306"/>
        <item x="236"/>
        <item x="125"/>
        <item x="51"/>
        <item x="3"/>
        <item x="23"/>
        <item x="351"/>
        <item x="319"/>
        <item x="75"/>
        <item x="185"/>
        <item x="254"/>
        <item x="214"/>
        <item x="143"/>
        <item x="311"/>
        <item x="202"/>
        <item x="40"/>
        <item x="77"/>
        <item x="92"/>
        <item x="298"/>
        <item x="169"/>
        <item x="120"/>
        <item x="152"/>
        <item x="136"/>
        <item x="350"/>
        <item x="133"/>
        <item x="244"/>
        <item x="62"/>
        <item x="102"/>
        <item x="212"/>
        <item x="323"/>
        <item x="222"/>
        <item x="60"/>
        <item x="313"/>
        <item x="206"/>
        <item x="301"/>
        <item x="110"/>
        <item x="347"/>
        <item x="26"/>
        <item x="91"/>
        <item x="74"/>
        <item x="329"/>
        <item x="89"/>
        <item x="250"/>
        <item x="191"/>
        <item x="108"/>
        <item x="81"/>
        <item x="141"/>
        <item x="59"/>
        <item x="17"/>
        <item x="324"/>
        <item x="56"/>
        <item x="67"/>
        <item x="22"/>
        <item x="68"/>
        <item x="291"/>
        <item x="316"/>
        <item x="187"/>
        <item x="121"/>
        <item x="109"/>
        <item x="271"/>
        <item x="265"/>
        <item x="70"/>
        <item x="234"/>
        <item x="6"/>
        <item x="97"/>
        <item x="147"/>
        <item x="294"/>
        <item x="24"/>
        <item x="106"/>
        <item x="157"/>
        <item x="178"/>
        <item x="126"/>
        <item x="139"/>
        <item x="190"/>
        <item x="199"/>
        <item x="337"/>
        <item x="156"/>
        <item x="278"/>
        <item x="95"/>
        <item x="276"/>
        <item x="330"/>
        <item x="293"/>
        <item x="229"/>
        <item x="331"/>
        <item x="198"/>
        <item x="334"/>
        <item x="239"/>
        <item x="1"/>
        <item x="119"/>
        <item x="11"/>
        <item x="255"/>
        <item x="326"/>
        <item x="275"/>
        <item x="18"/>
        <item x="327"/>
        <item x="46"/>
        <item x="282"/>
        <item x="189"/>
        <item x="144"/>
        <item x="135"/>
        <item x="29"/>
        <item x="171"/>
        <item x="257"/>
        <item x="232"/>
        <item x="69"/>
        <item x="21"/>
        <item x="28"/>
        <item x="284"/>
        <item x="146"/>
        <item x="288"/>
        <item x="168"/>
        <item x="195"/>
        <item x="19"/>
        <item x="73"/>
        <item x="130"/>
        <item x="131"/>
        <item x="165"/>
        <item x="61"/>
        <item x="31"/>
        <item x="274"/>
        <item x="86"/>
        <item x="247"/>
        <item x="215"/>
        <item x="142"/>
        <item x="80"/>
        <item x="104"/>
        <item x="44"/>
        <item x="249"/>
        <item x="231"/>
        <item x="277"/>
        <item x="82"/>
        <item x="309"/>
        <item x="230"/>
        <item x="127"/>
        <item x="352"/>
        <item x="283"/>
        <item x="192"/>
        <item x="128"/>
        <item x="45"/>
        <item x="225"/>
        <item x="100"/>
        <item x="243"/>
        <item x="113"/>
        <item x="308"/>
        <item x="263"/>
        <item x="269"/>
        <item x="344"/>
        <item x="115"/>
        <item x="305"/>
        <item x="227"/>
        <item x="289"/>
        <item x="216"/>
        <item x="99"/>
        <item x="7"/>
        <item x="332"/>
        <item x="180"/>
        <item x="161"/>
        <item x="279"/>
        <item x="129"/>
        <item x="264"/>
        <item x="193"/>
        <item x="64"/>
        <item x="246"/>
        <item x="148"/>
        <item x="300"/>
        <item x="299"/>
        <item x="83"/>
        <item x="90"/>
        <item x="118"/>
        <item x="295"/>
        <item x="65"/>
        <item x="32"/>
        <item x="172"/>
        <item x="50"/>
        <item x="134"/>
        <item x="151"/>
        <item x="12"/>
        <item x="268"/>
        <item x="307"/>
        <item x="233"/>
        <item x="84"/>
        <item x="209"/>
        <item x="98"/>
        <item x="211"/>
        <item x="27"/>
        <item x="196"/>
        <item x="183"/>
        <item x="72"/>
        <item x="123"/>
        <item x="297"/>
        <item x="207"/>
        <item x="159"/>
        <item x="223"/>
        <item x="170"/>
        <item t="default"/>
      </items>
    </pivotField>
    <pivotField showAll="0">
      <items count="15">
        <item x="0"/>
        <item x="1"/>
        <item x="2"/>
        <item x="3"/>
        <item x="4"/>
        <item x="5"/>
        <item x="6"/>
        <item x="7"/>
        <item x="8"/>
        <item x="9"/>
        <item x="10"/>
        <item x="11"/>
        <item x="12"/>
        <item x="13"/>
        <item t="default"/>
      </items>
    </pivotField>
    <pivotField showAll="0">
      <items count="3">
        <item x="1"/>
        <item x="0"/>
        <item t="default"/>
      </items>
    </pivotField>
    <pivotField axis="axisRow" showAll="0">
      <items count="7">
        <item x="3"/>
        <item x="2"/>
        <item x="0"/>
        <item x="4"/>
        <item h="1" x="5"/>
        <item x="1"/>
        <item t="default"/>
      </items>
    </pivotField>
    <pivotField showAll="0"/>
    <pivotField showAll="0"/>
    <pivotField showAll="0">
      <items count="7">
        <item x="0"/>
        <item x="1"/>
        <item x="2"/>
        <item x="3"/>
        <item x="4"/>
        <item x="5"/>
        <item t="default"/>
      </items>
    </pivotField>
    <pivotField showAll="0">
      <items count="5">
        <item x="0"/>
        <item x="1"/>
        <item x="2"/>
        <item x="3"/>
        <item t="default"/>
      </items>
    </pivotField>
  </pivotFields>
  <rowFields count="1">
    <field x="10"/>
  </rowFields>
  <rowItems count="6">
    <i>
      <x/>
    </i>
    <i>
      <x v="1"/>
    </i>
    <i>
      <x v="2"/>
    </i>
    <i>
      <x v="3"/>
    </i>
    <i>
      <x v="5"/>
    </i>
    <i t="grand">
      <x/>
    </i>
  </rowItems>
  <colItems count="1">
    <i/>
  </colItems>
  <dataFields count="1">
    <dataField name="Count of Claim_ID"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dateBetween" evalOrder="-1" id="169" name="Claim_Date">
      <autoFilter ref="A1">
        <filterColumn colId="0">
          <customFilters and="1">
            <customFilter operator="greaterThanOrEqual" val="45292"/>
            <customFilter operator="lessThanOrEqual" val="455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B0185F1-4B1F-4918-B3A0-72897C7E9A2D}" name="PivotTable11" cacheId="38"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
  <location ref="A3:B6" firstHeaderRow="1" firstDataRow="1" firstDataCol="1"/>
  <pivotFields count="15">
    <pivotField dataField="1" showAll="0"/>
    <pivotField showAll="0"/>
    <pivotField showAll="0"/>
    <pivotField showAll="0"/>
    <pivotField showAll="0"/>
    <pivotField showAll="0"/>
    <pivotField axis="axisRow" showAll="0">
      <items count="3">
        <item x="0"/>
        <item x="1"/>
        <item t="default"/>
      </items>
    </pivotField>
    <pivotField numFmtId="14" showAll="0">
      <items count="355">
        <item x="49"/>
        <item x="14"/>
        <item x="210"/>
        <item x="194"/>
        <item x="103"/>
        <item x="226"/>
        <item x="248"/>
        <item x="25"/>
        <item x="145"/>
        <item x="124"/>
        <item x="111"/>
        <item x="166"/>
        <item x="312"/>
        <item x="137"/>
        <item x="252"/>
        <item x="237"/>
        <item x="213"/>
        <item x="245"/>
        <item x="39"/>
        <item x="286"/>
        <item x="281"/>
        <item x="176"/>
        <item x="4"/>
        <item x="52"/>
        <item x="262"/>
        <item x="167"/>
        <item x="37"/>
        <item x="258"/>
        <item x="158"/>
        <item x="256"/>
        <item x="163"/>
        <item x="188"/>
        <item x="340"/>
        <item x="9"/>
        <item x="20"/>
        <item x="5"/>
        <item x="346"/>
        <item x="154"/>
        <item x="345"/>
        <item x="132"/>
        <item x="224"/>
        <item x="63"/>
        <item x="343"/>
        <item x="203"/>
        <item x="238"/>
        <item x="220"/>
        <item x="328"/>
        <item x="353"/>
        <item x="219"/>
        <item x="107"/>
        <item x="218"/>
        <item x="33"/>
        <item x="0"/>
        <item x="272"/>
        <item x="54"/>
        <item x="114"/>
        <item x="318"/>
        <item x="221"/>
        <item x="13"/>
        <item x="287"/>
        <item x="267"/>
        <item x="55"/>
        <item x="47"/>
        <item x="48"/>
        <item x="117"/>
        <item x="93"/>
        <item x="182"/>
        <item x="184"/>
        <item x="174"/>
        <item x="181"/>
        <item x="273"/>
        <item x="164"/>
        <item x="112"/>
        <item x="321"/>
        <item x="140"/>
        <item x="304"/>
        <item x="116"/>
        <item x="270"/>
        <item x="296"/>
        <item x="42"/>
        <item x="15"/>
        <item x="322"/>
        <item x="266"/>
        <item x="228"/>
        <item x="261"/>
        <item x="339"/>
        <item x="253"/>
        <item x="88"/>
        <item x="242"/>
        <item x="325"/>
        <item x="259"/>
        <item x="338"/>
        <item x="79"/>
        <item x="149"/>
        <item x="349"/>
        <item x="197"/>
        <item x="53"/>
        <item x="66"/>
        <item x="155"/>
        <item x="342"/>
        <item x="336"/>
        <item x="186"/>
        <item x="200"/>
        <item x="260"/>
        <item x="315"/>
        <item x="58"/>
        <item x="76"/>
        <item x="320"/>
        <item x="8"/>
        <item x="208"/>
        <item x="138"/>
        <item x="85"/>
        <item x="251"/>
        <item x="280"/>
        <item x="292"/>
        <item x="30"/>
        <item x="41"/>
        <item x="94"/>
        <item x="201"/>
        <item x="314"/>
        <item x="34"/>
        <item x="10"/>
        <item x="348"/>
        <item x="87"/>
        <item x="285"/>
        <item x="101"/>
        <item x="179"/>
        <item x="235"/>
        <item x="153"/>
        <item x="38"/>
        <item x="105"/>
        <item x="96"/>
        <item x="217"/>
        <item x="302"/>
        <item x="290"/>
        <item x="160"/>
        <item x="303"/>
        <item x="2"/>
        <item x="335"/>
        <item x="36"/>
        <item x="341"/>
        <item x="333"/>
        <item x="177"/>
        <item x="162"/>
        <item x="78"/>
        <item x="317"/>
        <item x="150"/>
        <item x="175"/>
        <item x="35"/>
        <item x="204"/>
        <item x="205"/>
        <item x="43"/>
        <item x="16"/>
        <item x="240"/>
        <item x="173"/>
        <item x="241"/>
        <item x="57"/>
        <item x="310"/>
        <item x="71"/>
        <item x="122"/>
        <item x="306"/>
        <item x="236"/>
        <item x="125"/>
        <item x="51"/>
        <item x="3"/>
        <item x="23"/>
        <item x="351"/>
        <item x="319"/>
        <item x="75"/>
        <item x="185"/>
        <item x="254"/>
        <item x="214"/>
        <item x="143"/>
        <item x="311"/>
        <item x="202"/>
        <item x="40"/>
        <item x="77"/>
        <item x="92"/>
        <item x="298"/>
        <item x="169"/>
        <item x="120"/>
        <item x="152"/>
        <item x="136"/>
        <item x="350"/>
        <item x="133"/>
        <item x="244"/>
        <item x="62"/>
        <item x="102"/>
        <item x="212"/>
        <item x="323"/>
        <item x="222"/>
        <item x="60"/>
        <item x="313"/>
        <item x="206"/>
        <item x="301"/>
        <item x="110"/>
        <item x="347"/>
        <item x="26"/>
        <item x="91"/>
        <item x="74"/>
        <item x="329"/>
        <item x="89"/>
        <item x="250"/>
        <item x="191"/>
        <item x="108"/>
        <item x="81"/>
        <item x="141"/>
        <item x="59"/>
        <item x="17"/>
        <item x="324"/>
        <item x="56"/>
        <item x="67"/>
        <item x="22"/>
        <item x="68"/>
        <item x="291"/>
        <item x="316"/>
        <item x="187"/>
        <item x="121"/>
        <item x="109"/>
        <item x="271"/>
        <item x="265"/>
        <item x="70"/>
        <item x="234"/>
        <item x="6"/>
        <item x="97"/>
        <item x="147"/>
        <item x="294"/>
        <item x="24"/>
        <item x="106"/>
        <item x="157"/>
        <item x="178"/>
        <item x="126"/>
        <item x="139"/>
        <item x="190"/>
        <item x="199"/>
        <item x="337"/>
        <item x="156"/>
        <item x="278"/>
        <item x="95"/>
        <item x="276"/>
        <item x="330"/>
        <item x="293"/>
        <item x="229"/>
        <item x="331"/>
        <item x="198"/>
        <item x="334"/>
        <item x="239"/>
        <item x="1"/>
        <item x="119"/>
        <item x="11"/>
        <item x="255"/>
        <item x="326"/>
        <item x="275"/>
        <item x="18"/>
        <item x="327"/>
        <item x="46"/>
        <item x="282"/>
        <item x="189"/>
        <item x="144"/>
        <item x="135"/>
        <item x="29"/>
        <item x="171"/>
        <item x="257"/>
        <item x="232"/>
        <item x="69"/>
        <item x="21"/>
        <item x="28"/>
        <item x="284"/>
        <item x="146"/>
        <item x="288"/>
        <item x="168"/>
        <item x="195"/>
        <item x="19"/>
        <item x="73"/>
        <item x="130"/>
        <item x="131"/>
        <item x="165"/>
        <item x="61"/>
        <item x="31"/>
        <item x="274"/>
        <item x="86"/>
        <item x="247"/>
        <item x="215"/>
        <item x="142"/>
        <item x="80"/>
        <item x="104"/>
        <item x="44"/>
        <item x="249"/>
        <item x="231"/>
        <item x="277"/>
        <item x="82"/>
        <item x="309"/>
        <item x="230"/>
        <item x="127"/>
        <item x="352"/>
        <item x="283"/>
        <item x="192"/>
        <item x="128"/>
        <item x="45"/>
        <item x="225"/>
        <item x="100"/>
        <item x="243"/>
        <item x="113"/>
        <item x="308"/>
        <item x="263"/>
        <item x="269"/>
        <item x="344"/>
        <item x="115"/>
        <item x="305"/>
        <item x="227"/>
        <item x="289"/>
        <item x="216"/>
        <item x="99"/>
        <item x="7"/>
        <item x="332"/>
        <item x="180"/>
        <item x="161"/>
        <item x="279"/>
        <item x="129"/>
        <item x="264"/>
        <item x="193"/>
        <item x="64"/>
        <item x="246"/>
        <item x="148"/>
        <item x="300"/>
        <item x="299"/>
        <item x="83"/>
        <item x="90"/>
        <item x="118"/>
        <item x="295"/>
        <item x="65"/>
        <item x="32"/>
        <item x="172"/>
        <item x="50"/>
        <item x="134"/>
        <item x="151"/>
        <item x="12"/>
        <item x="268"/>
        <item x="307"/>
        <item x="233"/>
        <item x="84"/>
        <item x="209"/>
        <item x="98"/>
        <item x="211"/>
        <item x="27"/>
        <item x="196"/>
        <item x="183"/>
        <item x="72"/>
        <item x="123"/>
        <item x="297"/>
        <item x="207"/>
        <item x="159"/>
        <item x="223"/>
        <item x="170"/>
        <item t="default"/>
      </items>
    </pivotField>
    <pivotField showAll="0">
      <items count="15">
        <item x="0"/>
        <item x="1"/>
        <item x="2"/>
        <item x="3"/>
        <item x="4"/>
        <item x="5"/>
        <item x="6"/>
        <item x="7"/>
        <item x="8"/>
        <item x="9"/>
        <item x="10"/>
        <item x="11"/>
        <item x="12"/>
        <item x="13"/>
        <item t="default"/>
      </items>
    </pivotField>
    <pivotField showAll="0">
      <items count="3">
        <item x="1"/>
        <item x="0"/>
        <item t="default"/>
      </items>
    </pivotField>
    <pivotField showAll="0">
      <items count="7">
        <item x="3"/>
        <item x="2"/>
        <item x="0"/>
        <item x="4"/>
        <item h="1" x="5"/>
        <item x="1"/>
        <item t="default"/>
      </items>
    </pivotField>
    <pivotField showAll="0"/>
    <pivotField showAll="0"/>
    <pivotField showAll="0">
      <items count="7">
        <item x="0"/>
        <item x="1"/>
        <item x="2"/>
        <item x="3"/>
        <item x="4"/>
        <item x="5"/>
        <item t="default"/>
      </items>
    </pivotField>
    <pivotField showAll="0">
      <items count="5">
        <item x="0"/>
        <item x="1"/>
        <item x="2"/>
        <item x="3"/>
        <item t="default"/>
      </items>
    </pivotField>
  </pivotFields>
  <rowFields count="1">
    <field x="6"/>
  </rowFields>
  <rowItems count="3">
    <i>
      <x/>
    </i>
    <i>
      <x v="1"/>
    </i>
    <i t="grand">
      <x/>
    </i>
  </rowItems>
  <colItems count="1">
    <i/>
  </colItems>
  <dataFields count="1">
    <dataField name="Count of Claim_ID" fld="0" subtotal="count"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6" count="1" selected="0">
            <x v="0"/>
          </reference>
        </references>
      </pivotArea>
    </chartFormat>
    <chartFormat chart="2" format="6">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filters count="1">
    <filter fld="7" type="dateBetween" evalOrder="-1" id="169" name="Claim_Date">
      <autoFilter ref="A1">
        <filterColumn colId="0">
          <customFilters and="1">
            <customFilter operator="greaterThanOrEqual" val="45292"/>
            <customFilter operator="lessThanOrEqual" val="455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DA32C9B7-FBEE-4C21-A7E9-4AF05BF0359D}" sourceName="City">
  <pivotTables>
    <pivotTable tabId="4" name="PivotTable11"/>
    <pivotTable tabId="4" name="PivotTable14"/>
    <pivotTable tabId="4" name="PivotTable16"/>
    <pivotTable tabId="4" name="PivotTable21"/>
    <pivotTable tabId="4" name="PivotTable22"/>
    <pivotTable tabId="4" name="PivotTable23"/>
  </pivotTables>
  <data>
    <tabular pivotCacheId="1087050386">
      <items count="6">
        <i x="3" s="1"/>
        <i x="2" s="1"/>
        <i x="0" s="1"/>
        <i x="4" s="1"/>
        <i x="5"/>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im_Status" xr10:uid="{388229CE-FADA-474E-98BA-863AE1BD8D6A}" sourceName="Claim_Status">
  <pivotTables>
    <pivotTable tabId="4" name="PivotTable14"/>
    <pivotTable tabId="4" name="PivotTable11"/>
    <pivotTable tabId="4" name="PivotTable16"/>
    <pivotTable tabId="4" name="PivotTable21"/>
    <pivotTable tabId="4" name="PivotTable22"/>
    <pivotTable tabId="4" name="PivotTable23"/>
  </pivotTables>
  <data>
    <tabular pivotCacheId="1087050386">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urance_Type" xr10:uid="{92F66C9E-B8FD-447A-A311-FE9FBAFF903E}" sourceName="Insurance_Type">
  <pivotTables>
    <pivotTable tabId="4" name="PivotTable14"/>
    <pivotTable tabId="4" name="PivotTable11"/>
    <pivotTable tabId="4" name="PivotTable16"/>
    <pivotTable tabId="4" name="PivotTable21"/>
    <pivotTable tabId="4" name="PivotTable22"/>
    <pivotTable tabId="4" name="PivotTable23"/>
  </pivotTables>
  <data>
    <tabular pivotCacheId="108705038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8F6C2CF9-CD3E-4FE8-B1F3-5B1844104705}" cache="Slicer_City" caption="City" rowHeight="241300"/>
  <slicer name="Claim_Status" xr10:uid="{F8738567-AC58-4E81-8507-F36CFFCB8822}" cache="Slicer_Claim_Status" caption="Claim_Status" rowHeight="241300"/>
  <slicer name="Insurance_Type" xr10:uid="{ABE70338-CD1F-4F08-9B84-D9A35BDD2EAE}" cache="Slicer_Insurance_Type" caption="Insurance_Type" rowHeight="241300"/>
</slicers>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Claim_Date" xr10:uid="{51248472-CC79-4E82-89E0-07F80EEB1A34}" sourceName="Claim_Date">
  <pivotTables>
    <pivotTable tabId="4" name="PivotTable14"/>
    <pivotTable tabId="4" name="PivotTable11"/>
    <pivotTable tabId="4" name="PivotTable16"/>
    <pivotTable tabId="4" name="PivotTable21"/>
    <pivotTable tabId="4" name="PivotTable22"/>
    <pivotTable tabId="4" name="PivotTable23"/>
  </pivotTables>
  <state minimalRefreshVersion="6" lastRefreshVersion="6" pivotCacheId="1087050386" filterType="dateBetween">
    <selection startDate="2024-01-01T00:00:00" endDate="2024-09-30T00:00:00"/>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Claim_Date" xr10:uid="{865EFBC2-9E75-4C8B-A01A-4B7D8AD5CC7D}" cache="NativeTimeline_Claim_Date" caption="Claim_Date" level="2" selectionLevel="1" scrollPosition="2024-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C02CF-0EDF-460A-A907-BB3F56B4E896}">
  <dimension ref="A1:F11"/>
  <sheetViews>
    <sheetView tabSelected="1" zoomScale="40" zoomScaleNormal="40" workbookViewId="0">
      <selection activeCell="K27" sqref="K27"/>
    </sheetView>
  </sheetViews>
  <sheetFormatPr defaultRowHeight="14.5" x14ac:dyDescent="0.35"/>
  <cols>
    <col min="1" max="1" width="36.4140625" customWidth="1"/>
    <col min="2" max="2" width="43.33203125" customWidth="1"/>
    <col min="3" max="3" width="30.5" customWidth="1"/>
    <col min="4" max="4" width="41.83203125" customWidth="1"/>
  </cols>
  <sheetData>
    <row r="1" spans="1:6" ht="25.5" x14ac:dyDescent="0.35">
      <c r="A1" s="11"/>
      <c r="B1" s="11"/>
    </row>
    <row r="2" spans="1:6" ht="25.5" x14ac:dyDescent="0.35">
      <c r="A2" s="12"/>
      <c r="B2" s="12"/>
    </row>
    <row r="3" spans="1:6" ht="25.5" x14ac:dyDescent="0.35">
      <c r="A3" s="12"/>
      <c r="B3" s="13"/>
    </row>
    <row r="4" spans="1:6" ht="25.5" x14ac:dyDescent="0.35">
      <c r="A4" s="12"/>
      <c r="B4" s="12"/>
    </row>
    <row r="5" spans="1:6" ht="25.5" x14ac:dyDescent="0.35">
      <c r="A5" s="12"/>
      <c r="B5" s="12"/>
    </row>
    <row r="6" spans="1:6" s="22" customFormat="1" ht="23" x14ac:dyDescent="0.5">
      <c r="A6" s="20" t="s">
        <v>1269</v>
      </c>
      <c r="B6" s="21" t="s">
        <v>1270</v>
      </c>
      <c r="C6" s="20" t="s">
        <v>1267</v>
      </c>
      <c r="D6" s="20" t="s">
        <v>1268</v>
      </c>
      <c r="E6" s="20"/>
      <c r="F6" s="20"/>
    </row>
    <row r="7" spans="1:6" ht="25.5" x14ac:dyDescent="0.55000000000000004">
      <c r="A7" s="14">
        <f>COUNTA(DATA!A2:A1201)</f>
        <v>1200</v>
      </c>
      <c r="B7" s="17">
        <f>SUM(DATA!E2:E1201)</f>
        <v>31614278</v>
      </c>
      <c r="C7" s="18">
        <f>COUNTIF(DATA!G2:G1201, "Approved")/COUNTA(DATA!G2:G1201)</f>
        <v>0.79249999999999998</v>
      </c>
      <c r="D7" s="19">
        <f>AVERAGE(DATA!L2:L1201)</f>
        <v>5.4395373291272344</v>
      </c>
    </row>
    <row r="8" spans="1:6" ht="25.5" x14ac:dyDescent="0.55000000000000004">
      <c r="A8" s="14"/>
    </row>
    <row r="9" spans="1:6" ht="25.5" x14ac:dyDescent="0.55000000000000004">
      <c r="A9" s="14"/>
    </row>
    <row r="10" spans="1:6" ht="25.5" x14ac:dyDescent="0.55000000000000004">
      <c r="A10" s="14"/>
    </row>
    <row r="11" spans="1:6" ht="25.5" x14ac:dyDescent="0.55000000000000004">
      <c r="A11" s="1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F9168-5ACA-4781-80D2-3AE7DFB2D4F9}">
  <dimension ref="A1:N1201"/>
  <sheetViews>
    <sheetView workbookViewId="0">
      <selection activeCell="C9" sqref="C9"/>
    </sheetView>
  </sheetViews>
  <sheetFormatPr defaultRowHeight="14.5" x14ac:dyDescent="0.35"/>
  <cols>
    <col min="1" max="1" width="12.9140625" customWidth="1"/>
    <col min="2" max="2" width="15.1640625" customWidth="1"/>
    <col min="3" max="3" width="16.83203125" customWidth="1"/>
    <col min="7" max="7" width="20.9140625" style="16" customWidth="1"/>
    <col min="8" max="8" width="14.5" customWidth="1"/>
    <col min="9" max="9" width="17.5" customWidth="1"/>
  </cols>
  <sheetData>
    <row r="1" spans="1:14" ht="15.5" x14ac:dyDescent="0.35">
      <c r="A1" s="1" t="s">
        <v>0</v>
      </c>
      <c r="B1" s="1" t="s">
        <v>1</v>
      </c>
      <c r="C1" s="1" t="s">
        <v>2</v>
      </c>
      <c r="D1" s="1" t="s">
        <v>3</v>
      </c>
      <c r="E1" s="1" t="s">
        <v>4</v>
      </c>
      <c r="F1" s="1" t="s">
        <v>5</v>
      </c>
      <c r="G1" s="15" t="s">
        <v>6</v>
      </c>
      <c r="H1" s="2" t="s">
        <v>7</v>
      </c>
      <c r="I1" s="2" t="s">
        <v>8</v>
      </c>
      <c r="J1" s="1" t="s">
        <v>9</v>
      </c>
      <c r="K1" s="1" t="s">
        <v>10</v>
      </c>
      <c r="L1" s="1" t="s">
        <v>11</v>
      </c>
      <c r="M1" s="1" t="s">
        <v>12</v>
      </c>
    </row>
    <row r="2" spans="1:14" x14ac:dyDescent="0.35">
      <c r="A2" t="s">
        <v>13</v>
      </c>
      <c r="B2" t="s">
        <v>14</v>
      </c>
      <c r="C2" t="s">
        <v>15</v>
      </c>
      <c r="D2" t="s">
        <v>16</v>
      </c>
      <c r="E2">
        <v>18049</v>
      </c>
      <c r="F2">
        <v>17764</v>
      </c>
      <c r="G2" s="16" t="s">
        <v>17</v>
      </c>
      <c r="H2" s="3">
        <v>45344</v>
      </c>
      <c r="I2" s="3">
        <v>45353</v>
      </c>
      <c r="J2" t="s">
        <v>18</v>
      </c>
      <c r="K2" t="s">
        <v>19</v>
      </c>
      <c r="L2">
        <v>9</v>
      </c>
      <c r="M2" t="s">
        <v>20</v>
      </c>
      <c r="N2">
        <f>COUNT(A2:A1201)</f>
        <v>0</v>
      </c>
    </row>
    <row r="3" spans="1:14" x14ac:dyDescent="0.35">
      <c r="A3" t="s">
        <v>21</v>
      </c>
      <c r="B3" t="s">
        <v>22</v>
      </c>
      <c r="C3" t="s">
        <v>15</v>
      </c>
      <c r="D3" t="s">
        <v>23</v>
      </c>
      <c r="E3">
        <v>8140</v>
      </c>
      <c r="F3">
        <v>7664</v>
      </c>
      <c r="G3" s="16" t="s">
        <v>17</v>
      </c>
      <c r="H3" s="3">
        <v>45550</v>
      </c>
      <c r="I3" s="3">
        <v>45560</v>
      </c>
      <c r="J3" t="s">
        <v>18</v>
      </c>
      <c r="K3" t="s">
        <v>19</v>
      </c>
      <c r="L3">
        <v>10</v>
      </c>
      <c r="M3" t="s">
        <v>24</v>
      </c>
    </row>
    <row r="4" spans="1:14" x14ac:dyDescent="0.35">
      <c r="A4" t="s">
        <v>25</v>
      </c>
      <c r="B4" t="s">
        <v>26</v>
      </c>
      <c r="C4" t="s">
        <v>27</v>
      </c>
      <c r="D4" t="s">
        <v>28</v>
      </c>
      <c r="E4">
        <v>31439</v>
      </c>
      <c r="F4">
        <v>0</v>
      </c>
      <c r="G4" s="16" t="s">
        <v>29</v>
      </c>
      <c r="H4" s="3">
        <v>45434</v>
      </c>
      <c r="I4" s="3"/>
      <c r="J4" t="s">
        <v>18</v>
      </c>
      <c r="K4" t="s">
        <v>30</v>
      </c>
      <c r="M4" t="s">
        <v>31</v>
      </c>
    </row>
    <row r="5" spans="1:14" x14ac:dyDescent="0.35">
      <c r="A5" t="s">
        <v>32</v>
      </c>
      <c r="B5" t="s">
        <v>33</v>
      </c>
      <c r="C5" t="s">
        <v>27</v>
      </c>
      <c r="D5" t="s">
        <v>34</v>
      </c>
      <c r="E5">
        <v>20210</v>
      </c>
      <c r="F5">
        <v>19770</v>
      </c>
      <c r="G5" s="16" t="s">
        <v>17</v>
      </c>
      <c r="H5" s="3">
        <v>45464</v>
      </c>
      <c r="I5" s="3">
        <v>45466</v>
      </c>
      <c r="J5" t="s">
        <v>18</v>
      </c>
      <c r="K5" t="s">
        <v>35</v>
      </c>
      <c r="L5">
        <v>2</v>
      </c>
      <c r="M5" t="s">
        <v>36</v>
      </c>
    </row>
    <row r="6" spans="1:14" x14ac:dyDescent="0.35">
      <c r="A6" t="s">
        <v>37</v>
      </c>
      <c r="B6" t="s">
        <v>33</v>
      </c>
      <c r="C6" t="s">
        <v>38</v>
      </c>
      <c r="D6" t="s">
        <v>34</v>
      </c>
      <c r="E6">
        <v>41565</v>
      </c>
      <c r="F6">
        <v>39913</v>
      </c>
      <c r="G6" s="16" t="s">
        <v>17</v>
      </c>
      <c r="H6" s="3">
        <v>45314</v>
      </c>
      <c r="I6" s="3">
        <v>45322</v>
      </c>
      <c r="J6" t="s">
        <v>18</v>
      </c>
      <c r="K6" t="s">
        <v>35</v>
      </c>
      <c r="L6">
        <v>8</v>
      </c>
      <c r="M6" t="s">
        <v>39</v>
      </c>
    </row>
    <row r="7" spans="1:14" x14ac:dyDescent="0.35">
      <c r="A7" t="s">
        <v>40</v>
      </c>
      <c r="B7" t="s">
        <v>41</v>
      </c>
      <c r="C7" t="s">
        <v>38</v>
      </c>
      <c r="D7" t="s">
        <v>34</v>
      </c>
      <c r="E7">
        <v>39837</v>
      </c>
      <c r="F7">
        <v>38395</v>
      </c>
      <c r="G7" s="16" t="s">
        <v>17</v>
      </c>
      <c r="H7" s="3">
        <v>45327</v>
      </c>
      <c r="I7" s="3">
        <v>45328</v>
      </c>
      <c r="J7" t="s">
        <v>18</v>
      </c>
      <c r="K7" t="s">
        <v>30</v>
      </c>
      <c r="L7">
        <v>1</v>
      </c>
      <c r="M7" t="s">
        <v>20</v>
      </c>
    </row>
    <row r="8" spans="1:14" x14ac:dyDescent="0.35">
      <c r="A8" t="s">
        <v>42</v>
      </c>
      <c r="B8" t="s">
        <v>33</v>
      </c>
      <c r="C8" t="s">
        <v>15</v>
      </c>
      <c r="D8" t="s">
        <v>28</v>
      </c>
      <c r="E8">
        <v>8619</v>
      </c>
      <c r="F8">
        <v>8050</v>
      </c>
      <c r="G8" s="16" t="s">
        <v>17</v>
      </c>
      <c r="H8" s="3">
        <v>45524</v>
      </c>
      <c r="I8" s="3">
        <v>45530</v>
      </c>
      <c r="J8" t="s">
        <v>18</v>
      </c>
      <c r="K8" t="s">
        <v>43</v>
      </c>
      <c r="L8">
        <v>6</v>
      </c>
      <c r="M8" t="s">
        <v>44</v>
      </c>
    </row>
    <row r="9" spans="1:14" x14ac:dyDescent="0.35">
      <c r="A9" t="s">
        <v>45</v>
      </c>
      <c r="B9" t="s">
        <v>22</v>
      </c>
      <c r="C9" t="s">
        <v>46</v>
      </c>
      <c r="D9" t="s">
        <v>16</v>
      </c>
      <c r="E9">
        <v>47994</v>
      </c>
      <c r="F9">
        <v>46747</v>
      </c>
      <c r="G9" s="16" t="s">
        <v>17</v>
      </c>
      <c r="H9" s="3">
        <v>45617</v>
      </c>
      <c r="I9" s="3">
        <v>45620</v>
      </c>
      <c r="J9" t="s">
        <v>18</v>
      </c>
      <c r="K9" t="s">
        <v>47</v>
      </c>
      <c r="L9">
        <v>3</v>
      </c>
      <c r="M9" t="s">
        <v>48</v>
      </c>
    </row>
    <row r="10" spans="1:14" x14ac:dyDescent="0.35">
      <c r="A10" t="s">
        <v>49</v>
      </c>
      <c r="B10" t="s">
        <v>26</v>
      </c>
      <c r="C10" t="s">
        <v>27</v>
      </c>
      <c r="D10" t="s">
        <v>16</v>
      </c>
      <c r="E10">
        <v>43943</v>
      </c>
      <c r="F10">
        <v>0</v>
      </c>
      <c r="G10" s="16" t="s">
        <v>29</v>
      </c>
      <c r="H10" s="3">
        <v>45404</v>
      </c>
      <c r="I10" s="3"/>
      <c r="J10" t="s">
        <v>50</v>
      </c>
      <c r="K10" t="s">
        <v>30</v>
      </c>
      <c r="M10" t="s">
        <v>51</v>
      </c>
    </row>
    <row r="11" spans="1:14" x14ac:dyDescent="0.35">
      <c r="A11" t="s">
        <v>52</v>
      </c>
      <c r="B11" t="s">
        <v>53</v>
      </c>
      <c r="C11" t="s">
        <v>46</v>
      </c>
      <c r="D11" t="s">
        <v>23</v>
      </c>
      <c r="E11">
        <v>22673</v>
      </c>
      <c r="F11">
        <v>22125</v>
      </c>
      <c r="G11" s="16" t="s">
        <v>17</v>
      </c>
      <c r="H11" s="3">
        <v>45325</v>
      </c>
      <c r="I11" s="3">
        <v>45329</v>
      </c>
      <c r="J11" t="s">
        <v>50</v>
      </c>
      <c r="K11" t="s">
        <v>47</v>
      </c>
      <c r="L11">
        <v>4</v>
      </c>
      <c r="M11" t="s">
        <v>20</v>
      </c>
    </row>
    <row r="12" spans="1:14" x14ac:dyDescent="0.35">
      <c r="A12" t="s">
        <v>54</v>
      </c>
      <c r="B12" t="s">
        <v>53</v>
      </c>
      <c r="C12" t="s">
        <v>27</v>
      </c>
      <c r="D12" t="s">
        <v>55</v>
      </c>
      <c r="E12">
        <v>11363</v>
      </c>
      <c r="F12">
        <v>11078</v>
      </c>
      <c r="G12" s="16" t="s">
        <v>17</v>
      </c>
      <c r="H12" s="3">
        <v>45418</v>
      </c>
      <c r="I12" s="3">
        <v>45427</v>
      </c>
      <c r="J12" t="s">
        <v>50</v>
      </c>
      <c r="K12" t="s">
        <v>56</v>
      </c>
      <c r="L12">
        <v>9</v>
      </c>
      <c r="M12" t="s">
        <v>31</v>
      </c>
    </row>
    <row r="13" spans="1:14" x14ac:dyDescent="0.35">
      <c r="A13" t="s">
        <v>57</v>
      </c>
      <c r="B13" t="s">
        <v>41</v>
      </c>
      <c r="C13" t="s">
        <v>27</v>
      </c>
      <c r="D13" t="s">
        <v>58</v>
      </c>
      <c r="E13">
        <v>25723</v>
      </c>
      <c r="F13">
        <v>25440</v>
      </c>
      <c r="G13" s="16" t="s">
        <v>17</v>
      </c>
      <c r="H13" s="3">
        <v>45552</v>
      </c>
      <c r="I13" s="3">
        <v>45560</v>
      </c>
      <c r="J13" t="s">
        <v>18</v>
      </c>
      <c r="K13" t="s">
        <v>30</v>
      </c>
      <c r="L13">
        <v>8</v>
      </c>
      <c r="M13" t="s">
        <v>24</v>
      </c>
    </row>
    <row r="14" spans="1:14" x14ac:dyDescent="0.35">
      <c r="A14" t="s">
        <v>59</v>
      </c>
      <c r="B14" t="s">
        <v>60</v>
      </c>
      <c r="C14" t="s">
        <v>15</v>
      </c>
      <c r="D14" t="s">
        <v>61</v>
      </c>
      <c r="E14">
        <v>43120</v>
      </c>
      <c r="F14">
        <v>41498</v>
      </c>
      <c r="G14" s="16" t="s">
        <v>17</v>
      </c>
      <c r="H14" s="3">
        <v>45640</v>
      </c>
      <c r="I14" s="3">
        <v>45647</v>
      </c>
      <c r="J14" t="s">
        <v>18</v>
      </c>
      <c r="K14" t="s">
        <v>35</v>
      </c>
      <c r="L14">
        <v>7</v>
      </c>
      <c r="M14" t="s">
        <v>62</v>
      </c>
    </row>
    <row r="15" spans="1:14" x14ac:dyDescent="0.35">
      <c r="A15" t="s">
        <v>63</v>
      </c>
      <c r="B15" t="s">
        <v>22</v>
      </c>
      <c r="C15" t="s">
        <v>64</v>
      </c>
      <c r="D15" t="s">
        <v>16</v>
      </c>
      <c r="E15">
        <v>38256</v>
      </c>
      <c r="F15">
        <v>36863</v>
      </c>
      <c r="G15" s="16" t="s">
        <v>17</v>
      </c>
      <c r="H15" s="3">
        <v>45350</v>
      </c>
      <c r="I15" s="3">
        <v>45359</v>
      </c>
      <c r="J15" t="s">
        <v>50</v>
      </c>
      <c r="K15" t="s">
        <v>30</v>
      </c>
      <c r="L15">
        <v>9</v>
      </c>
      <c r="M15" t="s">
        <v>20</v>
      </c>
    </row>
    <row r="16" spans="1:14" x14ac:dyDescent="0.35">
      <c r="A16" t="s">
        <v>65</v>
      </c>
      <c r="B16" t="s">
        <v>41</v>
      </c>
      <c r="C16" t="s">
        <v>15</v>
      </c>
      <c r="D16" t="s">
        <v>16</v>
      </c>
      <c r="E16">
        <v>30492</v>
      </c>
      <c r="F16">
        <v>29563</v>
      </c>
      <c r="G16" s="16" t="s">
        <v>17</v>
      </c>
      <c r="H16" s="3">
        <v>45293</v>
      </c>
      <c r="I16" s="3">
        <v>45298</v>
      </c>
      <c r="J16" t="s">
        <v>18</v>
      </c>
      <c r="K16" t="s">
        <v>19</v>
      </c>
      <c r="L16">
        <v>5</v>
      </c>
      <c r="M16" t="s">
        <v>39</v>
      </c>
    </row>
    <row r="17" spans="1:13" x14ac:dyDescent="0.35">
      <c r="A17" t="s">
        <v>66</v>
      </c>
      <c r="B17" t="s">
        <v>14</v>
      </c>
      <c r="C17" t="s">
        <v>38</v>
      </c>
      <c r="D17" t="s">
        <v>28</v>
      </c>
      <c r="E17">
        <v>12016</v>
      </c>
      <c r="F17">
        <v>10455</v>
      </c>
      <c r="G17" s="16" t="s">
        <v>17</v>
      </c>
      <c r="H17" s="3">
        <v>45374</v>
      </c>
      <c r="I17" s="3">
        <v>45383</v>
      </c>
      <c r="J17" t="s">
        <v>18</v>
      </c>
      <c r="K17" t="s">
        <v>19</v>
      </c>
      <c r="L17">
        <v>9</v>
      </c>
      <c r="M17" t="s">
        <v>67</v>
      </c>
    </row>
    <row r="18" spans="1:13" x14ac:dyDescent="0.35">
      <c r="A18" t="s">
        <v>68</v>
      </c>
      <c r="B18" t="s">
        <v>41</v>
      </c>
      <c r="C18" t="s">
        <v>64</v>
      </c>
      <c r="D18" t="s">
        <v>23</v>
      </c>
      <c r="E18">
        <v>9331</v>
      </c>
      <c r="F18">
        <v>7532</v>
      </c>
      <c r="G18" s="16" t="s">
        <v>17</v>
      </c>
      <c r="H18" s="3">
        <v>45449</v>
      </c>
      <c r="I18" s="3">
        <v>45453</v>
      </c>
      <c r="J18" t="s">
        <v>18</v>
      </c>
      <c r="K18" t="s">
        <v>47</v>
      </c>
      <c r="L18">
        <v>4</v>
      </c>
      <c r="M18" t="s">
        <v>36</v>
      </c>
    </row>
    <row r="19" spans="1:13" x14ac:dyDescent="0.35">
      <c r="A19" t="s">
        <v>69</v>
      </c>
      <c r="B19" t="s">
        <v>53</v>
      </c>
      <c r="C19" t="s">
        <v>15</v>
      </c>
      <c r="D19" t="s">
        <v>70</v>
      </c>
      <c r="E19">
        <v>49966</v>
      </c>
      <c r="F19">
        <v>48295</v>
      </c>
      <c r="G19" s="16" t="s">
        <v>17</v>
      </c>
      <c r="H19" s="3">
        <v>45327</v>
      </c>
      <c r="I19" s="3">
        <v>45336</v>
      </c>
      <c r="J19" t="s">
        <v>18</v>
      </c>
      <c r="K19" t="s">
        <v>47</v>
      </c>
      <c r="L19">
        <v>9</v>
      </c>
      <c r="M19" t="s">
        <v>20</v>
      </c>
    </row>
    <row r="20" spans="1:13" x14ac:dyDescent="0.35">
      <c r="A20" t="s">
        <v>71</v>
      </c>
      <c r="B20" t="s">
        <v>72</v>
      </c>
      <c r="C20" t="s">
        <v>73</v>
      </c>
      <c r="D20" t="s">
        <v>16</v>
      </c>
      <c r="E20">
        <v>36581</v>
      </c>
      <c r="F20">
        <v>0</v>
      </c>
      <c r="G20" s="16" t="s">
        <v>29</v>
      </c>
      <c r="H20" s="3">
        <v>45508</v>
      </c>
      <c r="I20" s="3"/>
      <c r="J20" t="s">
        <v>18</v>
      </c>
      <c r="K20" t="s">
        <v>19</v>
      </c>
      <c r="M20" t="s">
        <v>44</v>
      </c>
    </row>
    <row r="21" spans="1:13" x14ac:dyDescent="0.35">
      <c r="A21" t="s">
        <v>74</v>
      </c>
      <c r="B21" t="s">
        <v>26</v>
      </c>
      <c r="C21" t="s">
        <v>38</v>
      </c>
      <c r="D21" t="s">
        <v>58</v>
      </c>
      <c r="E21">
        <v>46019</v>
      </c>
      <c r="F21">
        <v>45122</v>
      </c>
      <c r="G21" s="16" t="s">
        <v>17</v>
      </c>
      <c r="H21" s="3">
        <v>45556</v>
      </c>
      <c r="I21" s="3">
        <v>45564</v>
      </c>
      <c r="J21" t="s">
        <v>18</v>
      </c>
      <c r="K21" t="s">
        <v>47</v>
      </c>
      <c r="L21">
        <v>8</v>
      </c>
      <c r="M21" t="s">
        <v>24</v>
      </c>
    </row>
    <row r="22" spans="1:13" x14ac:dyDescent="0.35">
      <c r="A22" t="s">
        <v>75</v>
      </c>
      <c r="B22" t="s">
        <v>26</v>
      </c>
      <c r="C22" t="s">
        <v>15</v>
      </c>
      <c r="D22" t="s">
        <v>34</v>
      </c>
      <c r="E22">
        <v>3378</v>
      </c>
      <c r="F22">
        <v>0</v>
      </c>
      <c r="G22" s="16" t="s">
        <v>29</v>
      </c>
      <c r="H22" s="3">
        <v>45575</v>
      </c>
      <c r="I22" s="3"/>
      <c r="J22" t="s">
        <v>18</v>
      </c>
      <c r="K22" t="s">
        <v>19</v>
      </c>
      <c r="M22" t="s">
        <v>76</v>
      </c>
    </row>
    <row r="23" spans="1:13" x14ac:dyDescent="0.35">
      <c r="A23" t="s">
        <v>77</v>
      </c>
      <c r="B23" t="s">
        <v>26</v>
      </c>
      <c r="C23" t="s">
        <v>15</v>
      </c>
      <c r="D23" t="s">
        <v>70</v>
      </c>
      <c r="E23">
        <v>48389</v>
      </c>
      <c r="F23">
        <v>47921</v>
      </c>
      <c r="G23" s="16" t="s">
        <v>17</v>
      </c>
      <c r="H23" s="3">
        <v>45326</v>
      </c>
      <c r="I23" s="3">
        <v>45327</v>
      </c>
      <c r="J23" t="s">
        <v>50</v>
      </c>
      <c r="K23" t="s">
        <v>47</v>
      </c>
      <c r="L23">
        <v>1</v>
      </c>
      <c r="M23" t="s">
        <v>20</v>
      </c>
    </row>
    <row r="24" spans="1:13" x14ac:dyDescent="0.35">
      <c r="A24" t="s">
        <v>78</v>
      </c>
      <c r="B24" t="s">
        <v>79</v>
      </c>
      <c r="C24" t="s">
        <v>46</v>
      </c>
      <c r="D24" t="s">
        <v>16</v>
      </c>
      <c r="E24">
        <v>45842</v>
      </c>
      <c r="F24">
        <v>45404</v>
      </c>
      <c r="G24" s="16" t="s">
        <v>17</v>
      </c>
      <c r="H24" s="3">
        <v>45568</v>
      </c>
      <c r="I24" s="3">
        <v>45571</v>
      </c>
      <c r="J24" t="s">
        <v>50</v>
      </c>
      <c r="K24" t="s">
        <v>47</v>
      </c>
      <c r="L24">
        <v>3</v>
      </c>
      <c r="M24" t="s">
        <v>76</v>
      </c>
    </row>
    <row r="25" spans="1:13" x14ac:dyDescent="0.35">
      <c r="A25" t="s">
        <v>80</v>
      </c>
      <c r="B25" t="s">
        <v>72</v>
      </c>
      <c r="C25" t="s">
        <v>27</v>
      </c>
      <c r="D25" t="s">
        <v>28</v>
      </c>
      <c r="E25">
        <v>8181</v>
      </c>
      <c r="F25">
        <v>6832</v>
      </c>
      <c r="G25" s="16" t="s">
        <v>17</v>
      </c>
      <c r="H25" s="3">
        <v>45512</v>
      </c>
      <c r="I25" s="3">
        <v>45518</v>
      </c>
      <c r="J25" t="s">
        <v>50</v>
      </c>
      <c r="K25" t="s">
        <v>35</v>
      </c>
      <c r="L25">
        <v>6</v>
      </c>
      <c r="M25" t="s">
        <v>44</v>
      </c>
    </row>
    <row r="26" spans="1:13" x14ac:dyDescent="0.35">
      <c r="A26" t="s">
        <v>81</v>
      </c>
      <c r="B26" t="s">
        <v>72</v>
      </c>
      <c r="C26" t="s">
        <v>15</v>
      </c>
      <c r="D26" t="s">
        <v>70</v>
      </c>
      <c r="E26">
        <v>5972</v>
      </c>
      <c r="F26">
        <v>4481</v>
      </c>
      <c r="G26" s="16" t="s">
        <v>17</v>
      </c>
      <c r="H26" s="3">
        <v>45465</v>
      </c>
      <c r="I26" s="3">
        <v>45467</v>
      </c>
      <c r="J26" t="s">
        <v>18</v>
      </c>
      <c r="K26" t="s">
        <v>47</v>
      </c>
      <c r="L26">
        <v>2</v>
      </c>
      <c r="M26" t="s">
        <v>36</v>
      </c>
    </row>
    <row r="27" spans="1:13" x14ac:dyDescent="0.35">
      <c r="A27" t="s">
        <v>82</v>
      </c>
      <c r="B27" t="s">
        <v>26</v>
      </c>
      <c r="C27" t="s">
        <v>64</v>
      </c>
      <c r="D27" t="s">
        <v>61</v>
      </c>
      <c r="E27">
        <v>29648</v>
      </c>
      <c r="F27">
        <v>29078</v>
      </c>
      <c r="G27" s="16" t="s">
        <v>17</v>
      </c>
      <c r="H27" s="3">
        <v>45528</v>
      </c>
      <c r="I27" s="3">
        <v>45532</v>
      </c>
      <c r="J27" t="s">
        <v>18</v>
      </c>
      <c r="K27" t="s">
        <v>35</v>
      </c>
      <c r="L27">
        <v>4</v>
      </c>
      <c r="M27" t="s">
        <v>44</v>
      </c>
    </row>
    <row r="28" spans="1:13" x14ac:dyDescent="0.35">
      <c r="A28" t="s">
        <v>83</v>
      </c>
      <c r="B28" t="s">
        <v>79</v>
      </c>
      <c r="C28" t="s">
        <v>15</v>
      </c>
      <c r="D28" t="s">
        <v>23</v>
      </c>
      <c r="E28">
        <v>44738</v>
      </c>
      <c r="F28">
        <v>0</v>
      </c>
      <c r="G28" s="16" t="s">
        <v>29</v>
      </c>
      <c r="H28" s="3">
        <v>45299</v>
      </c>
      <c r="I28" s="3"/>
      <c r="J28" t="s">
        <v>18</v>
      </c>
      <c r="K28" t="s">
        <v>30</v>
      </c>
      <c r="M28" t="s">
        <v>39</v>
      </c>
    </row>
    <row r="29" spans="1:13" x14ac:dyDescent="0.35">
      <c r="A29" t="s">
        <v>84</v>
      </c>
      <c r="B29" t="s">
        <v>26</v>
      </c>
      <c r="C29" t="s">
        <v>73</v>
      </c>
      <c r="D29" t="s">
        <v>58</v>
      </c>
      <c r="E29">
        <v>33826</v>
      </c>
      <c r="F29">
        <v>33389</v>
      </c>
      <c r="G29" s="16" t="s">
        <v>17</v>
      </c>
      <c r="H29" s="3">
        <v>45497</v>
      </c>
      <c r="I29" s="3">
        <v>45498</v>
      </c>
      <c r="J29" t="s">
        <v>18</v>
      </c>
      <c r="K29" t="s">
        <v>35</v>
      </c>
      <c r="L29">
        <v>1</v>
      </c>
      <c r="M29" t="s">
        <v>85</v>
      </c>
    </row>
    <row r="30" spans="1:13" x14ac:dyDescent="0.35">
      <c r="A30" t="s">
        <v>86</v>
      </c>
      <c r="B30" t="s">
        <v>60</v>
      </c>
      <c r="C30" t="s">
        <v>27</v>
      </c>
      <c r="D30" t="s">
        <v>16</v>
      </c>
      <c r="E30">
        <v>31819</v>
      </c>
      <c r="F30">
        <v>30953</v>
      </c>
      <c r="G30" s="16" t="s">
        <v>17</v>
      </c>
      <c r="H30" s="3">
        <v>45648</v>
      </c>
      <c r="I30" s="3">
        <v>45657</v>
      </c>
      <c r="J30" t="s">
        <v>50</v>
      </c>
      <c r="K30" t="s">
        <v>47</v>
      </c>
      <c r="L30">
        <v>9</v>
      </c>
      <c r="M30" t="s">
        <v>62</v>
      </c>
    </row>
    <row r="31" spans="1:13" x14ac:dyDescent="0.35">
      <c r="A31" t="s">
        <v>87</v>
      </c>
      <c r="B31" t="s">
        <v>26</v>
      </c>
      <c r="C31" t="s">
        <v>38</v>
      </c>
      <c r="D31" t="s">
        <v>28</v>
      </c>
      <c r="E31">
        <v>5832</v>
      </c>
      <c r="F31">
        <v>0</v>
      </c>
      <c r="G31" s="16" t="s">
        <v>29</v>
      </c>
      <c r="H31" s="3">
        <v>45569</v>
      </c>
      <c r="I31" s="3"/>
      <c r="J31" t="s">
        <v>18</v>
      </c>
      <c r="K31" t="s">
        <v>56</v>
      </c>
      <c r="M31" t="s">
        <v>76</v>
      </c>
    </row>
    <row r="32" spans="1:13" x14ac:dyDescent="0.35">
      <c r="A32" t="s">
        <v>88</v>
      </c>
      <c r="B32" t="s">
        <v>41</v>
      </c>
      <c r="C32" t="s">
        <v>15</v>
      </c>
      <c r="D32" t="s">
        <v>23</v>
      </c>
      <c r="E32">
        <v>40284</v>
      </c>
      <c r="F32">
        <v>39255</v>
      </c>
      <c r="G32" s="16" t="s">
        <v>17</v>
      </c>
      <c r="H32" s="3">
        <v>45563</v>
      </c>
      <c r="I32" s="3">
        <v>45566</v>
      </c>
      <c r="J32" t="s">
        <v>18</v>
      </c>
      <c r="K32" t="s">
        <v>19</v>
      </c>
      <c r="L32">
        <v>3</v>
      </c>
      <c r="M32" t="s">
        <v>24</v>
      </c>
    </row>
    <row r="33" spans="1:13" x14ac:dyDescent="0.35">
      <c r="A33" t="s">
        <v>89</v>
      </c>
      <c r="B33" t="s">
        <v>14</v>
      </c>
      <c r="C33" t="s">
        <v>73</v>
      </c>
      <c r="D33" t="s">
        <v>70</v>
      </c>
      <c r="E33">
        <v>40996</v>
      </c>
      <c r="F33">
        <v>39614</v>
      </c>
      <c r="G33" s="16" t="s">
        <v>17</v>
      </c>
      <c r="H33" s="3">
        <v>45412</v>
      </c>
      <c r="I33" s="3">
        <v>45419</v>
      </c>
      <c r="J33" t="s">
        <v>18</v>
      </c>
      <c r="K33" t="s">
        <v>19</v>
      </c>
      <c r="L33">
        <v>7</v>
      </c>
      <c r="M33" t="s">
        <v>51</v>
      </c>
    </row>
    <row r="34" spans="1:13" x14ac:dyDescent="0.35">
      <c r="A34" t="s">
        <v>90</v>
      </c>
      <c r="B34" t="s">
        <v>26</v>
      </c>
      <c r="C34" t="s">
        <v>15</v>
      </c>
      <c r="D34" t="s">
        <v>70</v>
      </c>
      <c r="E34">
        <v>29474</v>
      </c>
      <c r="F34">
        <v>0</v>
      </c>
      <c r="G34" s="16" t="s">
        <v>29</v>
      </c>
      <c r="H34" s="3">
        <v>45581</v>
      </c>
      <c r="I34" s="3"/>
      <c r="J34" t="s">
        <v>50</v>
      </c>
      <c r="K34" t="s">
        <v>43</v>
      </c>
      <c r="M34" t="s">
        <v>76</v>
      </c>
    </row>
    <row r="35" spans="1:13" x14ac:dyDescent="0.35">
      <c r="A35" t="s">
        <v>91</v>
      </c>
      <c r="B35" t="s">
        <v>26</v>
      </c>
      <c r="C35" t="s">
        <v>38</v>
      </c>
      <c r="D35" t="s">
        <v>28</v>
      </c>
      <c r="E35">
        <v>19407</v>
      </c>
      <c r="F35">
        <v>19139</v>
      </c>
      <c r="G35" s="16" t="s">
        <v>17</v>
      </c>
      <c r="H35" s="3">
        <v>45635</v>
      </c>
      <c r="I35" s="3">
        <v>45640</v>
      </c>
      <c r="J35" t="s">
        <v>50</v>
      </c>
      <c r="K35" t="s">
        <v>43</v>
      </c>
      <c r="L35">
        <v>5</v>
      </c>
      <c r="M35" t="s">
        <v>62</v>
      </c>
    </row>
    <row r="36" spans="1:13" x14ac:dyDescent="0.35">
      <c r="A36" t="s">
        <v>92</v>
      </c>
      <c r="B36" t="s">
        <v>14</v>
      </c>
      <c r="C36" t="s">
        <v>15</v>
      </c>
      <c r="D36" t="s">
        <v>55</v>
      </c>
      <c r="E36">
        <v>42708</v>
      </c>
      <c r="F36">
        <v>0</v>
      </c>
      <c r="G36" s="16" t="s">
        <v>29</v>
      </c>
      <c r="H36" s="3">
        <v>45343</v>
      </c>
      <c r="I36" s="3"/>
      <c r="J36" t="s">
        <v>18</v>
      </c>
      <c r="K36" t="s">
        <v>19</v>
      </c>
      <c r="M36" t="s">
        <v>20</v>
      </c>
    </row>
    <row r="37" spans="1:13" x14ac:dyDescent="0.35">
      <c r="A37" t="s">
        <v>93</v>
      </c>
      <c r="B37" t="s">
        <v>26</v>
      </c>
      <c r="C37" t="s">
        <v>38</v>
      </c>
      <c r="D37" t="s">
        <v>61</v>
      </c>
      <c r="E37">
        <v>24872</v>
      </c>
      <c r="F37">
        <v>23072</v>
      </c>
      <c r="G37" s="16" t="s">
        <v>17</v>
      </c>
      <c r="H37" s="3">
        <v>45417</v>
      </c>
      <c r="I37" s="3">
        <v>45423</v>
      </c>
      <c r="J37" t="s">
        <v>50</v>
      </c>
      <c r="K37" t="s">
        <v>47</v>
      </c>
      <c r="L37">
        <v>6</v>
      </c>
      <c r="M37" t="s">
        <v>31</v>
      </c>
    </row>
    <row r="38" spans="1:13" x14ac:dyDescent="0.35">
      <c r="A38" t="s">
        <v>94</v>
      </c>
      <c r="B38" t="s">
        <v>72</v>
      </c>
      <c r="C38" t="s">
        <v>38</v>
      </c>
      <c r="D38" t="s">
        <v>23</v>
      </c>
      <c r="E38">
        <v>45769</v>
      </c>
      <c r="F38">
        <v>0</v>
      </c>
      <c r="G38" s="16" t="s">
        <v>29</v>
      </c>
      <c r="H38" s="3">
        <v>45445</v>
      </c>
      <c r="I38" s="3"/>
      <c r="J38" t="s">
        <v>18</v>
      </c>
      <c r="K38" t="s">
        <v>47</v>
      </c>
      <c r="M38" t="s">
        <v>36</v>
      </c>
    </row>
    <row r="39" spans="1:13" x14ac:dyDescent="0.35">
      <c r="A39" t="s">
        <v>95</v>
      </c>
      <c r="B39" t="s">
        <v>96</v>
      </c>
      <c r="C39" t="s">
        <v>15</v>
      </c>
      <c r="D39" t="s">
        <v>70</v>
      </c>
      <c r="E39">
        <v>38256</v>
      </c>
      <c r="F39">
        <v>37699</v>
      </c>
      <c r="G39" s="16" t="s">
        <v>17</v>
      </c>
      <c r="H39" s="3">
        <v>45436</v>
      </c>
      <c r="I39" s="3">
        <v>45446</v>
      </c>
      <c r="J39" t="s">
        <v>18</v>
      </c>
      <c r="K39" t="s">
        <v>56</v>
      </c>
      <c r="L39">
        <v>10</v>
      </c>
      <c r="M39" t="s">
        <v>31</v>
      </c>
    </row>
    <row r="40" spans="1:13" x14ac:dyDescent="0.35">
      <c r="A40" t="s">
        <v>97</v>
      </c>
      <c r="B40" t="s">
        <v>41</v>
      </c>
      <c r="C40" t="s">
        <v>46</v>
      </c>
      <c r="D40" t="s">
        <v>16</v>
      </c>
      <c r="E40">
        <v>35122</v>
      </c>
      <c r="F40">
        <v>34608</v>
      </c>
      <c r="G40" s="16" t="s">
        <v>17</v>
      </c>
      <c r="H40" s="3">
        <v>45318</v>
      </c>
      <c r="I40" s="3">
        <v>45320</v>
      </c>
      <c r="J40" t="s">
        <v>50</v>
      </c>
      <c r="K40" t="s">
        <v>30</v>
      </c>
      <c r="L40">
        <v>2</v>
      </c>
      <c r="M40" t="s">
        <v>39</v>
      </c>
    </row>
    <row r="41" spans="1:13" x14ac:dyDescent="0.35">
      <c r="A41" t="s">
        <v>98</v>
      </c>
      <c r="B41" t="s">
        <v>96</v>
      </c>
      <c r="C41" t="s">
        <v>15</v>
      </c>
      <c r="D41" t="s">
        <v>23</v>
      </c>
      <c r="E41">
        <v>23859</v>
      </c>
      <c r="F41">
        <v>22555</v>
      </c>
      <c r="G41" s="16" t="s">
        <v>17</v>
      </c>
      <c r="H41" s="3">
        <v>45426</v>
      </c>
      <c r="I41" s="3">
        <v>45429</v>
      </c>
      <c r="J41" t="s">
        <v>50</v>
      </c>
      <c r="K41" t="s">
        <v>19</v>
      </c>
      <c r="L41">
        <v>3</v>
      </c>
      <c r="M41" t="s">
        <v>31</v>
      </c>
    </row>
    <row r="42" spans="1:13" x14ac:dyDescent="0.35">
      <c r="A42" t="s">
        <v>99</v>
      </c>
      <c r="B42" t="s">
        <v>22</v>
      </c>
      <c r="C42" t="s">
        <v>15</v>
      </c>
      <c r="D42" t="s">
        <v>70</v>
      </c>
      <c r="E42">
        <v>6931</v>
      </c>
      <c r="F42">
        <v>5814</v>
      </c>
      <c r="G42" s="16" t="s">
        <v>17</v>
      </c>
      <c r="H42" s="3">
        <v>45310</v>
      </c>
      <c r="I42" s="3">
        <v>45316</v>
      </c>
      <c r="J42" t="s">
        <v>18</v>
      </c>
      <c r="K42" t="s">
        <v>35</v>
      </c>
      <c r="L42">
        <v>6</v>
      </c>
      <c r="M42" t="s">
        <v>39</v>
      </c>
    </row>
    <row r="43" spans="1:13" x14ac:dyDescent="0.35">
      <c r="A43" t="s">
        <v>100</v>
      </c>
      <c r="B43" t="s">
        <v>33</v>
      </c>
      <c r="C43" t="s">
        <v>15</v>
      </c>
      <c r="D43" t="s">
        <v>16</v>
      </c>
      <c r="E43">
        <v>25897</v>
      </c>
      <c r="F43">
        <v>24057</v>
      </c>
      <c r="G43" s="16" t="s">
        <v>17</v>
      </c>
      <c r="H43" s="3">
        <v>45475</v>
      </c>
      <c r="I43" s="3">
        <v>45479</v>
      </c>
      <c r="J43" t="s">
        <v>18</v>
      </c>
      <c r="K43" t="s">
        <v>56</v>
      </c>
      <c r="L43">
        <v>4</v>
      </c>
      <c r="M43" t="s">
        <v>85</v>
      </c>
    </row>
    <row r="44" spans="1:13" x14ac:dyDescent="0.35">
      <c r="A44" t="s">
        <v>101</v>
      </c>
      <c r="B44" t="s">
        <v>14</v>
      </c>
      <c r="C44" t="s">
        <v>38</v>
      </c>
      <c r="D44" t="s">
        <v>58</v>
      </c>
      <c r="E44">
        <v>42675</v>
      </c>
      <c r="F44">
        <v>40780</v>
      </c>
      <c r="G44" s="16" t="s">
        <v>17</v>
      </c>
      <c r="H44" s="3">
        <v>45413</v>
      </c>
      <c r="I44" s="3">
        <v>45416</v>
      </c>
      <c r="J44" t="s">
        <v>18</v>
      </c>
      <c r="K44" t="s">
        <v>35</v>
      </c>
      <c r="L44">
        <v>3</v>
      </c>
      <c r="M44" t="s">
        <v>31</v>
      </c>
    </row>
    <row r="45" spans="1:13" x14ac:dyDescent="0.35">
      <c r="A45" t="s">
        <v>102</v>
      </c>
      <c r="B45" t="s">
        <v>60</v>
      </c>
      <c r="C45" t="s">
        <v>73</v>
      </c>
      <c r="D45" t="s">
        <v>34</v>
      </c>
      <c r="E45">
        <v>28982</v>
      </c>
      <c r="F45">
        <v>28436</v>
      </c>
      <c r="G45" s="16" t="s">
        <v>17</v>
      </c>
      <c r="H45" s="3">
        <v>45373</v>
      </c>
      <c r="I45" s="3">
        <v>45375</v>
      </c>
      <c r="J45" t="s">
        <v>50</v>
      </c>
      <c r="K45" t="s">
        <v>30</v>
      </c>
      <c r="L45">
        <v>2</v>
      </c>
      <c r="M45" t="s">
        <v>67</v>
      </c>
    </row>
    <row r="46" spans="1:13" x14ac:dyDescent="0.35">
      <c r="A46" t="s">
        <v>103</v>
      </c>
      <c r="B46" t="s">
        <v>60</v>
      </c>
      <c r="C46" t="s">
        <v>64</v>
      </c>
      <c r="D46" t="s">
        <v>28</v>
      </c>
      <c r="E46">
        <v>15079</v>
      </c>
      <c r="F46">
        <v>14363</v>
      </c>
      <c r="G46" s="16" t="s">
        <v>17</v>
      </c>
      <c r="H46" s="3">
        <v>45448</v>
      </c>
      <c r="I46" s="3">
        <v>45452</v>
      </c>
      <c r="J46" t="s">
        <v>18</v>
      </c>
      <c r="K46" t="s">
        <v>47</v>
      </c>
      <c r="L46">
        <v>4</v>
      </c>
      <c r="M46" t="s">
        <v>36</v>
      </c>
    </row>
    <row r="47" spans="1:13" x14ac:dyDescent="0.35">
      <c r="A47" t="s">
        <v>104</v>
      </c>
      <c r="B47" t="s">
        <v>26</v>
      </c>
      <c r="C47" t="s">
        <v>27</v>
      </c>
      <c r="D47" t="s">
        <v>34</v>
      </c>
      <c r="E47">
        <v>20258</v>
      </c>
      <c r="F47">
        <v>18278</v>
      </c>
      <c r="G47" s="16" t="s">
        <v>17</v>
      </c>
      <c r="H47" s="3">
        <v>45434</v>
      </c>
      <c r="I47" s="3">
        <v>45440</v>
      </c>
      <c r="J47" t="s">
        <v>50</v>
      </c>
      <c r="K47" t="s">
        <v>56</v>
      </c>
      <c r="L47">
        <v>6</v>
      </c>
      <c r="M47" t="s">
        <v>31</v>
      </c>
    </row>
    <row r="48" spans="1:13" x14ac:dyDescent="0.35">
      <c r="A48" t="s">
        <v>105</v>
      </c>
      <c r="B48" t="s">
        <v>79</v>
      </c>
      <c r="C48" t="s">
        <v>38</v>
      </c>
      <c r="D48" t="s">
        <v>23</v>
      </c>
      <c r="E48">
        <v>9559</v>
      </c>
      <c r="F48">
        <v>9194</v>
      </c>
      <c r="G48" s="16" t="s">
        <v>17</v>
      </c>
      <c r="H48" s="3">
        <v>45589</v>
      </c>
      <c r="I48" s="3">
        <v>45594</v>
      </c>
      <c r="J48" t="s">
        <v>18</v>
      </c>
      <c r="K48" t="s">
        <v>47</v>
      </c>
      <c r="L48">
        <v>5</v>
      </c>
      <c r="M48" t="s">
        <v>76</v>
      </c>
    </row>
    <row r="49" spans="1:13" x14ac:dyDescent="0.35">
      <c r="A49" t="s">
        <v>106</v>
      </c>
      <c r="B49" t="s">
        <v>53</v>
      </c>
      <c r="C49" t="s">
        <v>27</v>
      </c>
      <c r="D49" t="s">
        <v>34</v>
      </c>
      <c r="E49">
        <v>49745</v>
      </c>
      <c r="F49">
        <v>48852</v>
      </c>
      <c r="G49" s="16" t="s">
        <v>17</v>
      </c>
      <c r="H49" s="3">
        <v>45602</v>
      </c>
      <c r="I49" s="3">
        <v>45611</v>
      </c>
      <c r="J49" t="s">
        <v>18</v>
      </c>
      <c r="K49" t="s">
        <v>35</v>
      </c>
      <c r="L49">
        <v>9</v>
      </c>
      <c r="M49" t="s">
        <v>48</v>
      </c>
    </row>
    <row r="50" spans="1:13" x14ac:dyDescent="0.35">
      <c r="A50" t="s">
        <v>107</v>
      </c>
      <c r="B50" t="s">
        <v>53</v>
      </c>
      <c r="C50" t="s">
        <v>46</v>
      </c>
      <c r="D50" t="s">
        <v>16</v>
      </c>
      <c r="E50">
        <v>4908</v>
      </c>
      <c r="F50">
        <v>4905</v>
      </c>
      <c r="G50" s="16" t="s">
        <v>17</v>
      </c>
      <c r="H50" s="3">
        <v>45558</v>
      </c>
      <c r="I50" s="3">
        <v>45567</v>
      </c>
      <c r="J50" t="s">
        <v>18</v>
      </c>
      <c r="K50" t="s">
        <v>43</v>
      </c>
      <c r="L50">
        <v>9</v>
      </c>
      <c r="M50" t="s">
        <v>24</v>
      </c>
    </row>
    <row r="51" spans="1:13" x14ac:dyDescent="0.35">
      <c r="A51" t="s">
        <v>108</v>
      </c>
      <c r="B51" t="s">
        <v>22</v>
      </c>
      <c r="C51" t="s">
        <v>15</v>
      </c>
      <c r="D51" t="s">
        <v>34</v>
      </c>
      <c r="E51">
        <v>42839</v>
      </c>
      <c r="F51">
        <v>41481</v>
      </c>
      <c r="G51" s="16" t="s">
        <v>17</v>
      </c>
      <c r="H51" s="3">
        <v>45355</v>
      </c>
      <c r="I51" s="3">
        <v>45360</v>
      </c>
      <c r="J51" t="s">
        <v>50</v>
      </c>
      <c r="K51" t="s">
        <v>56</v>
      </c>
      <c r="L51">
        <v>5</v>
      </c>
      <c r="M51" t="s">
        <v>67</v>
      </c>
    </row>
    <row r="52" spans="1:13" x14ac:dyDescent="0.35">
      <c r="A52" t="s">
        <v>109</v>
      </c>
      <c r="B52" t="s">
        <v>22</v>
      </c>
      <c r="C52" t="s">
        <v>38</v>
      </c>
      <c r="D52" t="s">
        <v>58</v>
      </c>
      <c r="E52">
        <v>47692</v>
      </c>
      <c r="F52">
        <v>46557</v>
      </c>
      <c r="G52" s="16" t="s">
        <v>17</v>
      </c>
      <c r="H52" s="3">
        <v>45357</v>
      </c>
      <c r="I52" s="3">
        <v>45361</v>
      </c>
      <c r="J52" t="s">
        <v>50</v>
      </c>
      <c r="K52" t="s">
        <v>56</v>
      </c>
      <c r="L52">
        <v>4</v>
      </c>
      <c r="M52" t="s">
        <v>67</v>
      </c>
    </row>
    <row r="53" spans="1:13" x14ac:dyDescent="0.35">
      <c r="A53" t="s">
        <v>110</v>
      </c>
      <c r="B53" t="s">
        <v>22</v>
      </c>
      <c r="C53" t="s">
        <v>73</v>
      </c>
      <c r="D53" t="s">
        <v>16</v>
      </c>
      <c r="E53">
        <v>28612</v>
      </c>
      <c r="F53">
        <v>0</v>
      </c>
      <c r="G53" s="16" t="s">
        <v>29</v>
      </c>
      <c r="H53" s="3">
        <v>45292</v>
      </c>
      <c r="I53" s="3"/>
      <c r="J53" t="s">
        <v>50</v>
      </c>
      <c r="K53" t="s">
        <v>43</v>
      </c>
      <c r="M53" t="s">
        <v>39</v>
      </c>
    </row>
    <row r="54" spans="1:13" x14ac:dyDescent="0.35">
      <c r="A54" t="s">
        <v>111</v>
      </c>
      <c r="B54" t="s">
        <v>26</v>
      </c>
      <c r="C54" t="s">
        <v>27</v>
      </c>
      <c r="D54" t="s">
        <v>34</v>
      </c>
      <c r="E54">
        <v>32473</v>
      </c>
      <c r="F54">
        <v>31568</v>
      </c>
      <c r="G54" s="16" t="s">
        <v>17</v>
      </c>
      <c r="H54" s="3">
        <v>45637</v>
      </c>
      <c r="I54" s="3">
        <v>45641</v>
      </c>
      <c r="J54" t="s">
        <v>50</v>
      </c>
      <c r="K54" t="s">
        <v>30</v>
      </c>
      <c r="L54">
        <v>4</v>
      </c>
      <c r="M54" t="s">
        <v>62</v>
      </c>
    </row>
    <row r="55" spans="1:13" x14ac:dyDescent="0.35">
      <c r="A55" t="s">
        <v>112</v>
      </c>
      <c r="B55" t="s">
        <v>33</v>
      </c>
      <c r="C55" t="s">
        <v>15</v>
      </c>
      <c r="D55" t="s">
        <v>16</v>
      </c>
      <c r="E55">
        <v>35780</v>
      </c>
      <c r="F55">
        <v>0</v>
      </c>
      <c r="G55" s="16" t="s">
        <v>29</v>
      </c>
      <c r="H55" s="3">
        <v>45463</v>
      </c>
      <c r="I55" s="3"/>
      <c r="J55" t="s">
        <v>18</v>
      </c>
      <c r="K55" t="s">
        <v>30</v>
      </c>
      <c r="M55" t="s">
        <v>36</v>
      </c>
    </row>
    <row r="56" spans="1:13" x14ac:dyDescent="0.35">
      <c r="A56" t="s">
        <v>113</v>
      </c>
      <c r="B56" t="s">
        <v>26</v>
      </c>
      <c r="C56" t="s">
        <v>38</v>
      </c>
      <c r="D56" t="s">
        <v>28</v>
      </c>
      <c r="E56">
        <v>15050</v>
      </c>
      <c r="F56">
        <v>15000</v>
      </c>
      <c r="G56" s="16" t="s">
        <v>17</v>
      </c>
      <c r="H56" s="3">
        <v>45315</v>
      </c>
      <c r="I56" s="3">
        <v>45319</v>
      </c>
      <c r="J56" t="s">
        <v>50</v>
      </c>
      <c r="K56" t="s">
        <v>19</v>
      </c>
      <c r="L56">
        <v>4</v>
      </c>
      <c r="M56" t="s">
        <v>39</v>
      </c>
    </row>
    <row r="57" spans="1:13" x14ac:dyDescent="0.35">
      <c r="A57" t="s">
        <v>114</v>
      </c>
      <c r="B57" t="s">
        <v>14</v>
      </c>
      <c r="C57" t="s">
        <v>64</v>
      </c>
      <c r="D57" t="s">
        <v>58</v>
      </c>
      <c r="E57">
        <v>43272</v>
      </c>
      <c r="F57">
        <v>0</v>
      </c>
      <c r="G57" s="16" t="s">
        <v>29</v>
      </c>
      <c r="H57" s="3">
        <v>45391</v>
      </c>
      <c r="I57" s="3"/>
      <c r="J57" t="s">
        <v>50</v>
      </c>
      <c r="K57" t="s">
        <v>35</v>
      </c>
      <c r="M57" t="s">
        <v>51</v>
      </c>
    </row>
    <row r="58" spans="1:13" x14ac:dyDescent="0.35">
      <c r="A58" t="s">
        <v>115</v>
      </c>
      <c r="B58" t="s">
        <v>22</v>
      </c>
      <c r="C58" t="s">
        <v>46</v>
      </c>
      <c r="D58" t="s">
        <v>61</v>
      </c>
      <c r="E58">
        <v>44995</v>
      </c>
      <c r="F58">
        <v>43167</v>
      </c>
      <c r="G58" s="16" t="s">
        <v>17</v>
      </c>
      <c r="H58" s="3">
        <v>45346</v>
      </c>
      <c r="I58" s="3">
        <v>45353</v>
      </c>
      <c r="J58" t="s">
        <v>18</v>
      </c>
      <c r="K58" t="s">
        <v>47</v>
      </c>
      <c r="L58">
        <v>7</v>
      </c>
      <c r="M58" t="s">
        <v>20</v>
      </c>
    </row>
    <row r="59" spans="1:13" x14ac:dyDescent="0.35">
      <c r="A59" t="s">
        <v>116</v>
      </c>
      <c r="B59" t="s">
        <v>79</v>
      </c>
      <c r="C59" t="s">
        <v>64</v>
      </c>
      <c r="D59" t="s">
        <v>23</v>
      </c>
      <c r="E59">
        <v>38530</v>
      </c>
      <c r="F59">
        <v>36652</v>
      </c>
      <c r="G59" s="16" t="s">
        <v>17</v>
      </c>
      <c r="H59" s="3">
        <v>45354</v>
      </c>
      <c r="I59" s="3">
        <v>45362</v>
      </c>
      <c r="J59" t="s">
        <v>18</v>
      </c>
      <c r="K59" t="s">
        <v>30</v>
      </c>
      <c r="L59">
        <v>8</v>
      </c>
      <c r="M59" t="s">
        <v>67</v>
      </c>
    </row>
    <row r="60" spans="1:13" x14ac:dyDescent="0.35">
      <c r="A60" t="s">
        <v>117</v>
      </c>
      <c r="B60" t="s">
        <v>72</v>
      </c>
      <c r="C60" t="s">
        <v>38</v>
      </c>
      <c r="D60" t="s">
        <v>55</v>
      </c>
      <c r="E60">
        <v>42150</v>
      </c>
      <c r="F60">
        <v>0</v>
      </c>
      <c r="G60" s="16" t="s">
        <v>29</v>
      </c>
      <c r="H60" s="3">
        <v>45510</v>
      </c>
      <c r="I60" s="3"/>
      <c r="J60" t="s">
        <v>50</v>
      </c>
      <c r="K60" t="s">
        <v>47</v>
      </c>
      <c r="M60" t="s">
        <v>44</v>
      </c>
    </row>
    <row r="61" spans="1:13" x14ac:dyDescent="0.35">
      <c r="A61" t="s">
        <v>118</v>
      </c>
      <c r="B61" t="s">
        <v>72</v>
      </c>
      <c r="C61" t="s">
        <v>64</v>
      </c>
      <c r="D61" t="s">
        <v>16</v>
      </c>
      <c r="E61">
        <v>18203</v>
      </c>
      <c r="F61">
        <v>16635</v>
      </c>
      <c r="G61" s="16" t="s">
        <v>17</v>
      </c>
      <c r="H61" s="3">
        <v>45558</v>
      </c>
      <c r="I61" s="3">
        <v>45566</v>
      </c>
      <c r="J61" t="s">
        <v>18</v>
      </c>
      <c r="K61" t="s">
        <v>43</v>
      </c>
      <c r="L61">
        <v>8</v>
      </c>
      <c r="M61" t="s">
        <v>24</v>
      </c>
    </row>
    <row r="62" spans="1:13" x14ac:dyDescent="0.35">
      <c r="A62" t="s">
        <v>119</v>
      </c>
      <c r="B62" t="s">
        <v>72</v>
      </c>
      <c r="C62" t="s">
        <v>15</v>
      </c>
      <c r="D62" t="s">
        <v>16</v>
      </c>
      <c r="E62">
        <v>17367</v>
      </c>
      <c r="F62">
        <v>16680</v>
      </c>
      <c r="G62" s="16" t="s">
        <v>17</v>
      </c>
      <c r="H62" s="3">
        <v>45455</v>
      </c>
      <c r="I62" s="3">
        <v>45464</v>
      </c>
      <c r="J62" t="s">
        <v>18</v>
      </c>
      <c r="K62" t="s">
        <v>47</v>
      </c>
      <c r="L62">
        <v>9</v>
      </c>
      <c r="M62" t="s">
        <v>36</v>
      </c>
    </row>
    <row r="63" spans="1:13" x14ac:dyDescent="0.35">
      <c r="A63" t="s">
        <v>120</v>
      </c>
      <c r="B63" t="s">
        <v>33</v>
      </c>
      <c r="C63" t="s">
        <v>46</v>
      </c>
      <c r="D63" t="s">
        <v>58</v>
      </c>
      <c r="E63">
        <v>47478</v>
      </c>
      <c r="F63">
        <v>46032</v>
      </c>
      <c r="G63" s="16" t="s">
        <v>17</v>
      </c>
      <c r="H63" s="3">
        <v>45401</v>
      </c>
      <c r="I63" s="3">
        <v>45403</v>
      </c>
      <c r="J63" t="s">
        <v>50</v>
      </c>
      <c r="K63" t="s">
        <v>35</v>
      </c>
      <c r="L63">
        <v>2</v>
      </c>
      <c r="M63" t="s">
        <v>51</v>
      </c>
    </row>
    <row r="64" spans="1:13" x14ac:dyDescent="0.35">
      <c r="A64" t="s">
        <v>121</v>
      </c>
      <c r="B64" t="s">
        <v>41</v>
      </c>
      <c r="C64" t="s">
        <v>64</v>
      </c>
      <c r="D64" t="s">
        <v>58</v>
      </c>
      <c r="E64">
        <v>6080</v>
      </c>
      <c r="F64">
        <v>4375</v>
      </c>
      <c r="G64" s="16" t="s">
        <v>17</v>
      </c>
      <c r="H64" s="3">
        <v>45507</v>
      </c>
      <c r="I64" s="3">
        <v>45514</v>
      </c>
      <c r="J64" t="s">
        <v>18</v>
      </c>
      <c r="K64" t="s">
        <v>30</v>
      </c>
      <c r="L64">
        <v>7</v>
      </c>
      <c r="M64" t="s">
        <v>44</v>
      </c>
    </row>
    <row r="65" spans="1:13" x14ac:dyDescent="0.35">
      <c r="A65" t="s">
        <v>122</v>
      </c>
      <c r="B65" t="s">
        <v>53</v>
      </c>
      <c r="C65" t="s">
        <v>27</v>
      </c>
      <c r="D65" t="s">
        <v>55</v>
      </c>
      <c r="E65">
        <v>2386</v>
      </c>
      <c r="F65">
        <v>1775</v>
      </c>
      <c r="G65" s="16" t="s">
        <v>17</v>
      </c>
      <c r="H65" s="3">
        <v>45491</v>
      </c>
      <c r="I65" s="3">
        <v>45498</v>
      </c>
      <c r="J65" t="s">
        <v>18</v>
      </c>
      <c r="K65" t="s">
        <v>35</v>
      </c>
      <c r="L65">
        <v>7</v>
      </c>
      <c r="M65" t="s">
        <v>85</v>
      </c>
    </row>
    <row r="66" spans="1:13" x14ac:dyDescent="0.35">
      <c r="A66" t="s">
        <v>123</v>
      </c>
      <c r="B66" t="s">
        <v>26</v>
      </c>
      <c r="C66" t="s">
        <v>38</v>
      </c>
      <c r="D66" t="s">
        <v>58</v>
      </c>
      <c r="E66">
        <v>33827</v>
      </c>
      <c r="F66">
        <v>33031</v>
      </c>
      <c r="G66" s="16" t="s">
        <v>17</v>
      </c>
      <c r="H66" s="3">
        <v>45464</v>
      </c>
      <c r="I66" s="3">
        <v>45471</v>
      </c>
      <c r="J66" t="s">
        <v>18</v>
      </c>
      <c r="K66" t="s">
        <v>30</v>
      </c>
      <c r="L66">
        <v>7</v>
      </c>
      <c r="M66" t="s">
        <v>36</v>
      </c>
    </row>
    <row r="67" spans="1:13" x14ac:dyDescent="0.35">
      <c r="A67" t="s">
        <v>124</v>
      </c>
      <c r="B67" t="s">
        <v>72</v>
      </c>
      <c r="C67" t="s">
        <v>73</v>
      </c>
      <c r="D67" t="s">
        <v>23</v>
      </c>
      <c r="E67">
        <v>27822</v>
      </c>
      <c r="F67">
        <v>0</v>
      </c>
      <c r="G67" s="16" t="s">
        <v>29</v>
      </c>
      <c r="H67" s="3">
        <v>45580</v>
      </c>
      <c r="I67" s="3"/>
      <c r="J67" t="s">
        <v>18</v>
      </c>
      <c r="K67" t="s">
        <v>47</v>
      </c>
      <c r="M67" t="s">
        <v>76</v>
      </c>
    </row>
    <row r="68" spans="1:13" x14ac:dyDescent="0.35">
      <c r="A68" t="s">
        <v>125</v>
      </c>
      <c r="B68" t="s">
        <v>22</v>
      </c>
      <c r="C68" t="s">
        <v>73</v>
      </c>
      <c r="D68" t="s">
        <v>55</v>
      </c>
      <c r="E68">
        <v>13909</v>
      </c>
      <c r="F68">
        <v>13377</v>
      </c>
      <c r="G68" s="16" t="s">
        <v>17</v>
      </c>
      <c r="H68" s="3">
        <v>45486</v>
      </c>
      <c r="I68" s="3">
        <v>45492</v>
      </c>
      <c r="J68" t="s">
        <v>18</v>
      </c>
      <c r="K68" t="s">
        <v>35</v>
      </c>
      <c r="L68">
        <v>6</v>
      </c>
      <c r="M68" t="s">
        <v>85</v>
      </c>
    </row>
    <row r="69" spans="1:13" x14ac:dyDescent="0.35">
      <c r="A69" t="s">
        <v>126</v>
      </c>
      <c r="B69" t="s">
        <v>41</v>
      </c>
      <c r="C69" t="s">
        <v>38</v>
      </c>
      <c r="D69" t="s">
        <v>58</v>
      </c>
      <c r="E69">
        <v>20235</v>
      </c>
      <c r="F69">
        <v>19719</v>
      </c>
      <c r="G69" s="16" t="s">
        <v>17</v>
      </c>
      <c r="H69" s="3">
        <v>45333</v>
      </c>
      <c r="I69" s="3">
        <v>45341</v>
      </c>
      <c r="J69" t="s">
        <v>18</v>
      </c>
      <c r="K69" t="s">
        <v>56</v>
      </c>
      <c r="L69">
        <v>8</v>
      </c>
      <c r="M69" t="s">
        <v>20</v>
      </c>
    </row>
    <row r="70" spans="1:13" x14ac:dyDescent="0.35">
      <c r="A70" t="s">
        <v>127</v>
      </c>
      <c r="B70" t="s">
        <v>79</v>
      </c>
      <c r="C70" t="s">
        <v>15</v>
      </c>
      <c r="D70" t="s">
        <v>34</v>
      </c>
      <c r="E70">
        <v>16694</v>
      </c>
      <c r="F70">
        <v>15095</v>
      </c>
      <c r="G70" s="16" t="s">
        <v>17</v>
      </c>
      <c r="H70" s="3">
        <v>45625</v>
      </c>
      <c r="I70" s="3">
        <v>45626</v>
      </c>
      <c r="J70" t="s">
        <v>18</v>
      </c>
      <c r="K70" t="s">
        <v>47</v>
      </c>
      <c r="L70">
        <v>1</v>
      </c>
      <c r="M70" t="s">
        <v>48</v>
      </c>
    </row>
    <row r="71" spans="1:13" x14ac:dyDescent="0.35">
      <c r="A71" t="s">
        <v>128</v>
      </c>
      <c r="B71" t="s">
        <v>26</v>
      </c>
      <c r="C71" t="s">
        <v>15</v>
      </c>
      <c r="D71" t="s">
        <v>61</v>
      </c>
      <c r="E71">
        <v>17633</v>
      </c>
      <c r="F71">
        <v>16664</v>
      </c>
      <c r="G71" s="16" t="s">
        <v>17</v>
      </c>
      <c r="H71" s="3">
        <v>45634</v>
      </c>
      <c r="I71" s="3">
        <v>45636</v>
      </c>
      <c r="J71" t="s">
        <v>18</v>
      </c>
      <c r="K71" t="s">
        <v>35</v>
      </c>
      <c r="L71">
        <v>2</v>
      </c>
      <c r="M71" t="s">
        <v>62</v>
      </c>
    </row>
    <row r="72" spans="1:13" x14ac:dyDescent="0.35">
      <c r="A72" t="s">
        <v>129</v>
      </c>
      <c r="B72" t="s">
        <v>96</v>
      </c>
      <c r="C72" t="s">
        <v>38</v>
      </c>
      <c r="D72" t="s">
        <v>61</v>
      </c>
      <c r="E72">
        <v>41707</v>
      </c>
      <c r="F72">
        <v>0</v>
      </c>
      <c r="G72" s="16" t="s">
        <v>29</v>
      </c>
      <c r="H72" s="3">
        <v>45350</v>
      </c>
      <c r="I72" s="3"/>
      <c r="J72" t="s">
        <v>18</v>
      </c>
      <c r="K72" t="s">
        <v>43</v>
      </c>
      <c r="M72" t="s">
        <v>20</v>
      </c>
    </row>
    <row r="73" spans="1:13" x14ac:dyDescent="0.35">
      <c r="A73" t="s">
        <v>130</v>
      </c>
      <c r="B73" t="s">
        <v>14</v>
      </c>
      <c r="C73" t="s">
        <v>15</v>
      </c>
      <c r="D73" t="s">
        <v>16</v>
      </c>
      <c r="E73">
        <v>39735</v>
      </c>
      <c r="F73">
        <v>38923</v>
      </c>
      <c r="G73" s="16" t="s">
        <v>17</v>
      </c>
      <c r="H73" s="3">
        <v>45393</v>
      </c>
      <c r="I73" s="3">
        <v>45395</v>
      </c>
      <c r="J73" t="s">
        <v>18</v>
      </c>
      <c r="K73" t="s">
        <v>47</v>
      </c>
      <c r="L73">
        <v>2</v>
      </c>
      <c r="M73" t="s">
        <v>51</v>
      </c>
    </row>
    <row r="74" spans="1:13" x14ac:dyDescent="0.35">
      <c r="A74" t="s">
        <v>131</v>
      </c>
      <c r="B74" t="s">
        <v>96</v>
      </c>
      <c r="C74" t="s">
        <v>15</v>
      </c>
      <c r="D74" t="s">
        <v>23</v>
      </c>
      <c r="E74">
        <v>24754</v>
      </c>
      <c r="F74">
        <v>0</v>
      </c>
      <c r="G74" s="16" t="s">
        <v>29</v>
      </c>
      <c r="H74" s="3">
        <v>45511</v>
      </c>
      <c r="I74" s="3"/>
      <c r="J74" t="s">
        <v>50</v>
      </c>
      <c r="K74" t="s">
        <v>47</v>
      </c>
      <c r="M74" t="s">
        <v>44</v>
      </c>
    </row>
    <row r="75" spans="1:13" x14ac:dyDescent="0.35">
      <c r="A75" t="s">
        <v>132</v>
      </c>
      <c r="B75" t="s">
        <v>79</v>
      </c>
      <c r="C75" t="s">
        <v>38</v>
      </c>
      <c r="D75" t="s">
        <v>23</v>
      </c>
      <c r="E75">
        <v>29528</v>
      </c>
      <c r="F75">
        <v>29312</v>
      </c>
      <c r="G75" s="16" t="s">
        <v>17</v>
      </c>
      <c r="H75" s="3">
        <v>45513</v>
      </c>
      <c r="I75" s="3">
        <v>45519</v>
      </c>
      <c r="J75" t="s">
        <v>50</v>
      </c>
      <c r="K75" t="s">
        <v>56</v>
      </c>
      <c r="L75">
        <v>6</v>
      </c>
      <c r="M75" t="s">
        <v>44</v>
      </c>
    </row>
    <row r="76" spans="1:13" x14ac:dyDescent="0.35">
      <c r="A76" t="s">
        <v>133</v>
      </c>
      <c r="B76" t="s">
        <v>33</v>
      </c>
      <c r="C76" t="s">
        <v>27</v>
      </c>
      <c r="D76" t="s">
        <v>61</v>
      </c>
      <c r="E76">
        <v>36193</v>
      </c>
      <c r="F76">
        <v>34932</v>
      </c>
      <c r="G76" s="16" t="s">
        <v>17</v>
      </c>
      <c r="H76" s="3">
        <v>45567</v>
      </c>
      <c r="I76" s="3">
        <v>45575</v>
      </c>
      <c r="J76" t="s">
        <v>50</v>
      </c>
      <c r="K76" t="s">
        <v>35</v>
      </c>
      <c r="L76">
        <v>8</v>
      </c>
      <c r="M76" t="s">
        <v>76</v>
      </c>
    </row>
    <row r="77" spans="1:13" x14ac:dyDescent="0.35">
      <c r="A77" t="s">
        <v>134</v>
      </c>
      <c r="B77" t="s">
        <v>53</v>
      </c>
      <c r="C77" t="s">
        <v>38</v>
      </c>
      <c r="D77" t="s">
        <v>34</v>
      </c>
      <c r="E77">
        <v>18088</v>
      </c>
      <c r="F77">
        <v>17517</v>
      </c>
      <c r="G77" s="16" t="s">
        <v>17</v>
      </c>
      <c r="H77" s="3">
        <v>45522</v>
      </c>
      <c r="I77" s="3">
        <v>45526</v>
      </c>
      <c r="J77" t="s">
        <v>50</v>
      </c>
      <c r="K77" t="s">
        <v>19</v>
      </c>
      <c r="L77">
        <v>4</v>
      </c>
      <c r="M77" t="s">
        <v>44</v>
      </c>
    </row>
    <row r="78" spans="1:13" x14ac:dyDescent="0.35">
      <c r="A78" t="s">
        <v>135</v>
      </c>
      <c r="B78" t="s">
        <v>53</v>
      </c>
      <c r="C78" t="s">
        <v>27</v>
      </c>
      <c r="D78" t="s">
        <v>34</v>
      </c>
      <c r="E78">
        <v>3880</v>
      </c>
      <c r="F78">
        <v>2138</v>
      </c>
      <c r="G78" s="16" t="s">
        <v>17</v>
      </c>
      <c r="H78" s="3">
        <v>45458</v>
      </c>
      <c r="I78" s="3">
        <v>45461</v>
      </c>
      <c r="J78" t="s">
        <v>50</v>
      </c>
      <c r="K78" t="s">
        <v>47</v>
      </c>
      <c r="L78">
        <v>3</v>
      </c>
      <c r="M78" t="s">
        <v>36</v>
      </c>
    </row>
    <row r="79" spans="1:13" x14ac:dyDescent="0.35">
      <c r="A79" t="s">
        <v>136</v>
      </c>
      <c r="B79" t="s">
        <v>41</v>
      </c>
      <c r="C79" t="s">
        <v>38</v>
      </c>
      <c r="D79" t="s">
        <v>34</v>
      </c>
      <c r="E79">
        <v>20327</v>
      </c>
      <c r="F79">
        <v>0</v>
      </c>
      <c r="G79" s="16" t="s">
        <v>29</v>
      </c>
      <c r="H79" s="3">
        <v>45651</v>
      </c>
      <c r="I79" s="3"/>
      <c r="J79" t="s">
        <v>50</v>
      </c>
      <c r="K79" t="s">
        <v>19</v>
      </c>
      <c r="M79" t="s">
        <v>62</v>
      </c>
    </row>
    <row r="80" spans="1:13" x14ac:dyDescent="0.35">
      <c r="A80" t="s">
        <v>137</v>
      </c>
      <c r="B80" t="s">
        <v>60</v>
      </c>
      <c r="C80" t="s">
        <v>46</v>
      </c>
      <c r="D80" t="s">
        <v>70</v>
      </c>
      <c r="E80">
        <v>17817</v>
      </c>
      <c r="F80">
        <v>16817</v>
      </c>
      <c r="G80" s="16" t="s">
        <v>17</v>
      </c>
      <c r="H80" s="3">
        <v>45576</v>
      </c>
      <c r="I80" s="3">
        <v>45580</v>
      </c>
      <c r="J80" t="s">
        <v>50</v>
      </c>
      <c r="K80" t="s">
        <v>56</v>
      </c>
      <c r="L80">
        <v>4</v>
      </c>
      <c r="M80" t="s">
        <v>76</v>
      </c>
    </row>
    <row r="81" spans="1:13" x14ac:dyDescent="0.35">
      <c r="A81" t="s">
        <v>138</v>
      </c>
      <c r="B81" t="s">
        <v>72</v>
      </c>
      <c r="C81" t="s">
        <v>64</v>
      </c>
      <c r="D81" t="s">
        <v>23</v>
      </c>
      <c r="E81">
        <v>8098</v>
      </c>
      <c r="F81">
        <v>7645</v>
      </c>
      <c r="G81" s="16" t="s">
        <v>17</v>
      </c>
      <c r="H81" s="3">
        <v>45499</v>
      </c>
      <c r="I81" s="3">
        <v>45503</v>
      </c>
      <c r="J81" t="s">
        <v>50</v>
      </c>
      <c r="K81" t="s">
        <v>56</v>
      </c>
      <c r="L81">
        <v>4</v>
      </c>
      <c r="M81" t="s">
        <v>85</v>
      </c>
    </row>
    <row r="82" spans="1:13" x14ac:dyDescent="0.35">
      <c r="A82" t="s">
        <v>139</v>
      </c>
      <c r="B82" t="s">
        <v>53</v>
      </c>
      <c r="C82" t="s">
        <v>38</v>
      </c>
      <c r="D82" t="s">
        <v>55</v>
      </c>
      <c r="E82">
        <v>38272</v>
      </c>
      <c r="F82">
        <v>0</v>
      </c>
      <c r="G82" s="16" t="s">
        <v>29</v>
      </c>
      <c r="H82" s="3">
        <v>45468</v>
      </c>
      <c r="I82" s="3"/>
      <c r="J82" t="s">
        <v>50</v>
      </c>
      <c r="K82" t="s">
        <v>56</v>
      </c>
      <c r="M82" t="s">
        <v>36</v>
      </c>
    </row>
    <row r="83" spans="1:13" x14ac:dyDescent="0.35">
      <c r="A83" t="s">
        <v>140</v>
      </c>
      <c r="B83" t="s">
        <v>79</v>
      </c>
      <c r="C83" t="s">
        <v>38</v>
      </c>
      <c r="D83" t="s">
        <v>34</v>
      </c>
      <c r="E83">
        <v>48062</v>
      </c>
      <c r="F83">
        <v>47508</v>
      </c>
      <c r="G83" s="16" t="s">
        <v>17</v>
      </c>
      <c r="H83" s="3">
        <v>45448</v>
      </c>
      <c r="I83" s="3">
        <v>45453</v>
      </c>
      <c r="J83" t="s">
        <v>18</v>
      </c>
      <c r="K83" t="s">
        <v>47</v>
      </c>
      <c r="L83">
        <v>5</v>
      </c>
      <c r="M83" t="s">
        <v>36</v>
      </c>
    </row>
    <row r="84" spans="1:13" x14ac:dyDescent="0.35">
      <c r="A84" t="s">
        <v>141</v>
      </c>
      <c r="B84" t="s">
        <v>26</v>
      </c>
      <c r="C84" t="s">
        <v>38</v>
      </c>
      <c r="D84" t="s">
        <v>70</v>
      </c>
      <c r="E84">
        <v>37118</v>
      </c>
      <c r="F84">
        <v>36726</v>
      </c>
      <c r="G84" s="16" t="s">
        <v>17</v>
      </c>
      <c r="H84" s="3">
        <v>45402</v>
      </c>
      <c r="I84" s="3">
        <v>45410</v>
      </c>
      <c r="J84" t="s">
        <v>50</v>
      </c>
      <c r="K84" t="s">
        <v>56</v>
      </c>
      <c r="L84">
        <v>8</v>
      </c>
      <c r="M84" t="s">
        <v>51</v>
      </c>
    </row>
    <row r="85" spans="1:13" x14ac:dyDescent="0.35">
      <c r="A85" t="s">
        <v>142</v>
      </c>
      <c r="B85" t="s">
        <v>53</v>
      </c>
      <c r="C85" t="s">
        <v>38</v>
      </c>
      <c r="D85" t="s">
        <v>70</v>
      </c>
      <c r="E85">
        <v>14721</v>
      </c>
      <c r="F85">
        <v>14256</v>
      </c>
      <c r="G85" s="16" t="s">
        <v>17</v>
      </c>
      <c r="H85" s="3">
        <v>45476</v>
      </c>
      <c r="I85" s="3">
        <v>45479</v>
      </c>
      <c r="J85" t="s">
        <v>50</v>
      </c>
      <c r="K85" t="s">
        <v>47</v>
      </c>
      <c r="L85">
        <v>3</v>
      </c>
      <c r="M85" t="s">
        <v>85</v>
      </c>
    </row>
    <row r="86" spans="1:13" x14ac:dyDescent="0.35">
      <c r="A86" t="s">
        <v>143</v>
      </c>
      <c r="B86" t="s">
        <v>79</v>
      </c>
      <c r="C86" t="s">
        <v>73</v>
      </c>
      <c r="D86" t="s">
        <v>16</v>
      </c>
      <c r="E86">
        <v>4982</v>
      </c>
      <c r="F86">
        <v>3849</v>
      </c>
      <c r="G86" s="16" t="s">
        <v>17</v>
      </c>
      <c r="H86" s="3">
        <v>45441</v>
      </c>
      <c r="I86" s="3">
        <v>45444</v>
      </c>
      <c r="J86" t="s">
        <v>50</v>
      </c>
      <c r="K86" t="s">
        <v>47</v>
      </c>
      <c r="L86">
        <v>3</v>
      </c>
      <c r="M86" t="s">
        <v>31</v>
      </c>
    </row>
    <row r="87" spans="1:13" x14ac:dyDescent="0.35">
      <c r="A87" t="s">
        <v>144</v>
      </c>
      <c r="B87" t="s">
        <v>60</v>
      </c>
      <c r="C87" t="s">
        <v>38</v>
      </c>
      <c r="D87" t="s">
        <v>55</v>
      </c>
      <c r="E87">
        <v>33373</v>
      </c>
      <c r="F87">
        <v>32676</v>
      </c>
      <c r="G87" s="16" t="s">
        <v>17</v>
      </c>
      <c r="H87" s="3">
        <v>45386</v>
      </c>
      <c r="I87" s="3">
        <v>45387</v>
      </c>
      <c r="J87" t="s">
        <v>50</v>
      </c>
      <c r="K87" t="s">
        <v>30</v>
      </c>
      <c r="L87">
        <v>1</v>
      </c>
      <c r="M87" t="s">
        <v>51</v>
      </c>
    </row>
    <row r="88" spans="1:13" x14ac:dyDescent="0.35">
      <c r="A88" t="s">
        <v>145</v>
      </c>
      <c r="B88" t="s">
        <v>72</v>
      </c>
      <c r="C88" t="s">
        <v>15</v>
      </c>
      <c r="D88" t="s">
        <v>70</v>
      </c>
      <c r="E88">
        <v>28260</v>
      </c>
      <c r="F88">
        <v>28109</v>
      </c>
      <c r="G88" s="16" t="s">
        <v>17</v>
      </c>
      <c r="H88" s="3">
        <v>45587</v>
      </c>
      <c r="I88" s="3">
        <v>45588</v>
      </c>
      <c r="J88" t="s">
        <v>18</v>
      </c>
      <c r="K88" t="s">
        <v>47</v>
      </c>
      <c r="L88">
        <v>1</v>
      </c>
      <c r="M88" t="s">
        <v>76</v>
      </c>
    </row>
    <row r="89" spans="1:13" x14ac:dyDescent="0.35">
      <c r="A89" t="s">
        <v>146</v>
      </c>
      <c r="B89" t="s">
        <v>53</v>
      </c>
      <c r="C89" t="s">
        <v>38</v>
      </c>
      <c r="D89" t="s">
        <v>70</v>
      </c>
      <c r="E89">
        <v>18265</v>
      </c>
      <c r="F89">
        <v>17123</v>
      </c>
      <c r="G89" s="16" t="s">
        <v>17</v>
      </c>
      <c r="H89" s="3">
        <v>45505</v>
      </c>
      <c r="I89" s="3">
        <v>45515</v>
      </c>
      <c r="J89" t="s">
        <v>18</v>
      </c>
      <c r="K89" t="s">
        <v>30</v>
      </c>
      <c r="L89">
        <v>10</v>
      </c>
      <c r="M89" t="s">
        <v>44</v>
      </c>
    </row>
    <row r="90" spans="1:13" x14ac:dyDescent="0.35">
      <c r="A90" t="s">
        <v>147</v>
      </c>
      <c r="B90" t="s">
        <v>79</v>
      </c>
      <c r="C90" t="s">
        <v>27</v>
      </c>
      <c r="D90" t="s">
        <v>55</v>
      </c>
      <c r="E90">
        <v>31014</v>
      </c>
      <c r="F90">
        <v>29253</v>
      </c>
      <c r="G90" s="16" t="s">
        <v>17</v>
      </c>
      <c r="H90" s="3">
        <v>45593</v>
      </c>
      <c r="I90" s="3">
        <v>45600</v>
      </c>
      <c r="J90" t="s">
        <v>50</v>
      </c>
      <c r="K90" t="s">
        <v>19</v>
      </c>
      <c r="L90">
        <v>7</v>
      </c>
      <c r="M90" t="s">
        <v>76</v>
      </c>
    </row>
    <row r="91" spans="1:13" x14ac:dyDescent="0.35">
      <c r="A91" t="s">
        <v>148</v>
      </c>
      <c r="B91" t="s">
        <v>53</v>
      </c>
      <c r="C91" t="s">
        <v>15</v>
      </c>
      <c r="D91" t="s">
        <v>70</v>
      </c>
      <c r="E91">
        <v>15617</v>
      </c>
      <c r="F91">
        <v>15076</v>
      </c>
      <c r="G91" s="16" t="s">
        <v>17</v>
      </c>
      <c r="H91" s="3">
        <v>45630</v>
      </c>
      <c r="I91" s="3">
        <v>45632</v>
      </c>
      <c r="J91" t="s">
        <v>18</v>
      </c>
      <c r="K91" t="s">
        <v>47</v>
      </c>
      <c r="L91">
        <v>2</v>
      </c>
      <c r="M91" t="s">
        <v>62</v>
      </c>
    </row>
    <row r="92" spans="1:13" x14ac:dyDescent="0.35">
      <c r="A92" t="s">
        <v>149</v>
      </c>
      <c r="B92" t="s">
        <v>33</v>
      </c>
      <c r="C92" t="s">
        <v>15</v>
      </c>
      <c r="D92" t="s">
        <v>61</v>
      </c>
      <c r="E92">
        <v>2175</v>
      </c>
      <c r="F92">
        <v>1253</v>
      </c>
      <c r="G92" s="16" t="s">
        <v>17</v>
      </c>
      <c r="H92" s="3">
        <v>45644</v>
      </c>
      <c r="I92" s="3">
        <v>45654</v>
      </c>
      <c r="J92" t="s">
        <v>50</v>
      </c>
      <c r="K92" t="s">
        <v>43</v>
      </c>
      <c r="L92">
        <v>10</v>
      </c>
      <c r="M92" t="s">
        <v>62</v>
      </c>
    </row>
    <row r="93" spans="1:13" x14ac:dyDescent="0.35">
      <c r="A93" t="s">
        <v>150</v>
      </c>
      <c r="B93" t="s">
        <v>60</v>
      </c>
      <c r="C93" t="s">
        <v>46</v>
      </c>
      <c r="D93" t="s">
        <v>16</v>
      </c>
      <c r="E93">
        <v>48331</v>
      </c>
      <c r="F93">
        <v>46892</v>
      </c>
      <c r="G93" s="16" t="s">
        <v>17</v>
      </c>
      <c r="H93" s="3">
        <v>45524</v>
      </c>
      <c r="I93" s="3">
        <v>45526</v>
      </c>
      <c r="J93" t="s">
        <v>18</v>
      </c>
      <c r="K93" t="s">
        <v>43</v>
      </c>
      <c r="L93">
        <v>2</v>
      </c>
      <c r="M93" t="s">
        <v>44</v>
      </c>
    </row>
    <row r="94" spans="1:13" x14ac:dyDescent="0.35">
      <c r="A94" t="s">
        <v>151</v>
      </c>
      <c r="B94" t="s">
        <v>53</v>
      </c>
      <c r="C94" t="s">
        <v>46</v>
      </c>
      <c r="D94" t="s">
        <v>58</v>
      </c>
      <c r="E94">
        <v>9521</v>
      </c>
      <c r="F94">
        <v>0</v>
      </c>
      <c r="G94" s="16" t="s">
        <v>29</v>
      </c>
      <c r="H94" s="3">
        <v>45407</v>
      </c>
      <c r="I94" s="3"/>
      <c r="J94" t="s">
        <v>18</v>
      </c>
      <c r="K94" t="s">
        <v>43</v>
      </c>
      <c r="M94" t="s">
        <v>51</v>
      </c>
    </row>
    <row r="95" spans="1:13" x14ac:dyDescent="0.35">
      <c r="A95" t="s">
        <v>152</v>
      </c>
      <c r="B95" t="s">
        <v>33</v>
      </c>
      <c r="C95" t="s">
        <v>15</v>
      </c>
      <c r="D95" t="s">
        <v>23</v>
      </c>
      <c r="E95">
        <v>12873</v>
      </c>
      <c r="F95">
        <v>11655</v>
      </c>
      <c r="G95" s="16" t="s">
        <v>17</v>
      </c>
      <c r="H95" s="3">
        <v>45583</v>
      </c>
      <c r="I95" s="3">
        <v>45588</v>
      </c>
      <c r="J95" t="s">
        <v>50</v>
      </c>
      <c r="K95" t="s">
        <v>47</v>
      </c>
      <c r="L95">
        <v>5</v>
      </c>
      <c r="M95" t="s">
        <v>76</v>
      </c>
    </row>
    <row r="96" spans="1:13" x14ac:dyDescent="0.35">
      <c r="A96" t="s">
        <v>153</v>
      </c>
      <c r="B96" t="s">
        <v>72</v>
      </c>
      <c r="C96" t="s">
        <v>38</v>
      </c>
      <c r="D96" t="s">
        <v>58</v>
      </c>
      <c r="E96">
        <v>19841</v>
      </c>
      <c r="F96">
        <v>0</v>
      </c>
      <c r="G96" s="16" t="s">
        <v>29</v>
      </c>
      <c r="H96" s="3">
        <v>45568</v>
      </c>
      <c r="I96" s="3"/>
      <c r="J96" t="s">
        <v>50</v>
      </c>
      <c r="K96" t="s">
        <v>35</v>
      </c>
      <c r="M96" t="s">
        <v>76</v>
      </c>
    </row>
    <row r="97" spans="1:13" x14ac:dyDescent="0.35">
      <c r="A97" t="s">
        <v>154</v>
      </c>
      <c r="B97" t="s">
        <v>14</v>
      </c>
      <c r="C97" t="s">
        <v>15</v>
      </c>
      <c r="D97" t="s">
        <v>58</v>
      </c>
      <c r="E97">
        <v>23123</v>
      </c>
      <c r="F97">
        <v>0</v>
      </c>
      <c r="G97" s="16" t="s">
        <v>29</v>
      </c>
      <c r="H97" s="3">
        <v>45420</v>
      </c>
      <c r="I97" s="3"/>
      <c r="J97" t="s">
        <v>18</v>
      </c>
      <c r="K97" t="s">
        <v>47</v>
      </c>
      <c r="M97" t="s">
        <v>31</v>
      </c>
    </row>
    <row r="98" spans="1:13" x14ac:dyDescent="0.35">
      <c r="A98" t="s">
        <v>155</v>
      </c>
      <c r="B98" t="s">
        <v>26</v>
      </c>
      <c r="C98" t="s">
        <v>15</v>
      </c>
      <c r="D98" t="s">
        <v>16</v>
      </c>
      <c r="E98">
        <v>39764</v>
      </c>
      <c r="F98">
        <v>38202</v>
      </c>
      <c r="G98" s="16" t="s">
        <v>17</v>
      </c>
      <c r="H98" s="3">
        <v>45381</v>
      </c>
      <c r="I98" s="3">
        <v>45389</v>
      </c>
      <c r="J98" t="s">
        <v>50</v>
      </c>
      <c r="K98" t="s">
        <v>43</v>
      </c>
      <c r="L98">
        <v>8</v>
      </c>
      <c r="M98" t="s">
        <v>67</v>
      </c>
    </row>
    <row r="99" spans="1:13" x14ac:dyDescent="0.35">
      <c r="A99" t="s">
        <v>156</v>
      </c>
      <c r="B99" t="s">
        <v>33</v>
      </c>
      <c r="C99" t="s">
        <v>27</v>
      </c>
      <c r="D99" t="s">
        <v>55</v>
      </c>
      <c r="E99">
        <v>7979</v>
      </c>
      <c r="F99">
        <v>7267</v>
      </c>
      <c r="G99" s="16" t="s">
        <v>17</v>
      </c>
      <c r="H99" s="3">
        <v>45501</v>
      </c>
      <c r="I99" s="3">
        <v>45507</v>
      </c>
      <c r="J99" t="s">
        <v>50</v>
      </c>
      <c r="K99" t="s">
        <v>56</v>
      </c>
      <c r="L99">
        <v>6</v>
      </c>
      <c r="M99" t="s">
        <v>85</v>
      </c>
    </row>
    <row r="100" spans="1:13" x14ac:dyDescent="0.35">
      <c r="A100" t="s">
        <v>157</v>
      </c>
      <c r="B100" t="s">
        <v>14</v>
      </c>
      <c r="C100" t="s">
        <v>73</v>
      </c>
      <c r="D100" t="s">
        <v>34</v>
      </c>
      <c r="E100">
        <v>28977</v>
      </c>
      <c r="F100">
        <v>28387</v>
      </c>
      <c r="G100" s="16" t="s">
        <v>17</v>
      </c>
      <c r="H100" s="3">
        <v>45631</v>
      </c>
      <c r="I100" s="3">
        <v>45638</v>
      </c>
      <c r="J100" t="s">
        <v>18</v>
      </c>
      <c r="K100" t="s">
        <v>35</v>
      </c>
      <c r="L100">
        <v>7</v>
      </c>
      <c r="M100" t="s">
        <v>62</v>
      </c>
    </row>
    <row r="101" spans="1:13" x14ac:dyDescent="0.35">
      <c r="A101" t="s">
        <v>158</v>
      </c>
      <c r="B101" t="s">
        <v>14</v>
      </c>
      <c r="C101" t="s">
        <v>38</v>
      </c>
      <c r="D101" t="s">
        <v>16</v>
      </c>
      <c r="E101">
        <v>23186</v>
      </c>
      <c r="F101">
        <v>21200</v>
      </c>
      <c r="G101" s="16" t="s">
        <v>17</v>
      </c>
      <c r="H101" s="3">
        <v>45498</v>
      </c>
      <c r="I101" s="3">
        <v>45507</v>
      </c>
      <c r="J101" t="s">
        <v>18</v>
      </c>
      <c r="K101" t="s">
        <v>56</v>
      </c>
      <c r="L101">
        <v>9</v>
      </c>
      <c r="M101" t="s">
        <v>85</v>
      </c>
    </row>
    <row r="102" spans="1:13" x14ac:dyDescent="0.35">
      <c r="A102" t="s">
        <v>159</v>
      </c>
      <c r="B102" t="s">
        <v>79</v>
      </c>
      <c r="C102" t="s">
        <v>64</v>
      </c>
      <c r="D102" t="s">
        <v>58</v>
      </c>
      <c r="E102">
        <v>5552</v>
      </c>
      <c r="F102">
        <v>4491</v>
      </c>
      <c r="G102" s="16" t="s">
        <v>17</v>
      </c>
      <c r="H102" s="3">
        <v>45477</v>
      </c>
      <c r="I102" s="3">
        <v>45487</v>
      </c>
      <c r="J102" t="s">
        <v>50</v>
      </c>
      <c r="K102" t="s">
        <v>56</v>
      </c>
      <c r="L102">
        <v>10</v>
      </c>
      <c r="M102" t="s">
        <v>85</v>
      </c>
    </row>
    <row r="103" spans="1:13" x14ac:dyDescent="0.35">
      <c r="A103" t="s">
        <v>160</v>
      </c>
      <c r="B103" t="s">
        <v>72</v>
      </c>
      <c r="C103" t="s">
        <v>15</v>
      </c>
      <c r="D103" t="s">
        <v>28</v>
      </c>
      <c r="E103">
        <v>19501</v>
      </c>
      <c r="F103">
        <v>0</v>
      </c>
      <c r="G103" s="16" t="s">
        <v>29</v>
      </c>
      <c r="H103" s="3">
        <v>45359</v>
      </c>
      <c r="I103" s="3"/>
      <c r="J103" t="s">
        <v>50</v>
      </c>
      <c r="K103" t="s">
        <v>35</v>
      </c>
      <c r="M103" t="s">
        <v>67</v>
      </c>
    </row>
    <row r="104" spans="1:13" x14ac:dyDescent="0.35">
      <c r="A104" t="s">
        <v>161</v>
      </c>
      <c r="B104" t="s">
        <v>72</v>
      </c>
      <c r="C104" t="s">
        <v>15</v>
      </c>
      <c r="D104" t="s">
        <v>23</v>
      </c>
      <c r="E104">
        <v>43289</v>
      </c>
      <c r="F104">
        <v>0</v>
      </c>
      <c r="G104" s="16" t="s">
        <v>29</v>
      </c>
      <c r="H104" s="3">
        <v>45414</v>
      </c>
      <c r="I104" s="3"/>
      <c r="J104" t="s">
        <v>18</v>
      </c>
      <c r="K104" t="s">
        <v>43</v>
      </c>
      <c r="M104" t="s">
        <v>31</v>
      </c>
    </row>
    <row r="105" spans="1:13" x14ac:dyDescent="0.35">
      <c r="A105" t="s">
        <v>162</v>
      </c>
      <c r="B105" t="s">
        <v>79</v>
      </c>
      <c r="C105" t="s">
        <v>15</v>
      </c>
      <c r="D105" t="s">
        <v>58</v>
      </c>
      <c r="E105">
        <v>8108</v>
      </c>
      <c r="F105">
        <v>6385</v>
      </c>
      <c r="G105" s="16" t="s">
        <v>17</v>
      </c>
      <c r="H105" s="3">
        <v>45350</v>
      </c>
      <c r="I105" s="3">
        <v>45358</v>
      </c>
      <c r="J105" t="s">
        <v>18</v>
      </c>
      <c r="K105" t="s">
        <v>56</v>
      </c>
      <c r="L105">
        <v>8</v>
      </c>
      <c r="M105" t="s">
        <v>20</v>
      </c>
    </row>
    <row r="106" spans="1:13" x14ac:dyDescent="0.35">
      <c r="A106" t="s">
        <v>163</v>
      </c>
      <c r="B106" t="s">
        <v>33</v>
      </c>
      <c r="C106" t="s">
        <v>64</v>
      </c>
      <c r="D106" t="s">
        <v>16</v>
      </c>
      <c r="E106">
        <v>35349</v>
      </c>
      <c r="F106">
        <v>34499</v>
      </c>
      <c r="G106" s="16" t="s">
        <v>17</v>
      </c>
      <c r="H106" s="3">
        <v>45539</v>
      </c>
      <c r="I106" s="3">
        <v>45547</v>
      </c>
      <c r="J106" t="s">
        <v>18</v>
      </c>
      <c r="K106" t="s">
        <v>35</v>
      </c>
      <c r="L106">
        <v>8</v>
      </c>
      <c r="M106" t="s">
        <v>24</v>
      </c>
    </row>
    <row r="107" spans="1:13" x14ac:dyDescent="0.35">
      <c r="A107" t="s">
        <v>164</v>
      </c>
      <c r="B107" t="s">
        <v>79</v>
      </c>
      <c r="C107" t="s">
        <v>73</v>
      </c>
      <c r="D107" t="s">
        <v>58</v>
      </c>
      <c r="E107">
        <v>14491</v>
      </c>
      <c r="F107">
        <v>0</v>
      </c>
      <c r="G107" s="16" t="s">
        <v>29</v>
      </c>
      <c r="H107" s="3">
        <v>45552</v>
      </c>
      <c r="I107" s="3"/>
      <c r="J107" t="s">
        <v>18</v>
      </c>
      <c r="K107" t="s">
        <v>30</v>
      </c>
      <c r="M107" t="s">
        <v>24</v>
      </c>
    </row>
    <row r="108" spans="1:13" x14ac:dyDescent="0.35">
      <c r="A108" t="s">
        <v>165</v>
      </c>
      <c r="B108" t="s">
        <v>14</v>
      </c>
      <c r="C108" t="s">
        <v>38</v>
      </c>
      <c r="D108" t="s">
        <v>58</v>
      </c>
      <c r="E108">
        <v>24274</v>
      </c>
      <c r="F108">
        <v>0</v>
      </c>
      <c r="G108" s="16" t="s">
        <v>29</v>
      </c>
      <c r="H108" s="3">
        <v>45428</v>
      </c>
      <c r="I108" s="3"/>
      <c r="J108" t="s">
        <v>18</v>
      </c>
      <c r="K108" t="s">
        <v>43</v>
      </c>
      <c r="M108" t="s">
        <v>31</v>
      </c>
    </row>
    <row r="109" spans="1:13" x14ac:dyDescent="0.35">
      <c r="A109" t="s">
        <v>166</v>
      </c>
      <c r="B109" t="s">
        <v>96</v>
      </c>
      <c r="C109" t="s">
        <v>64</v>
      </c>
      <c r="D109" t="s">
        <v>61</v>
      </c>
      <c r="E109">
        <v>31264</v>
      </c>
      <c r="F109">
        <v>0</v>
      </c>
      <c r="G109" s="16" t="s">
        <v>29</v>
      </c>
      <c r="H109" s="3">
        <v>45539</v>
      </c>
      <c r="I109" s="3"/>
      <c r="J109" t="s">
        <v>50</v>
      </c>
      <c r="K109" t="s">
        <v>43</v>
      </c>
      <c r="M109" t="s">
        <v>24</v>
      </c>
    </row>
    <row r="110" spans="1:13" x14ac:dyDescent="0.35">
      <c r="A110" t="s">
        <v>167</v>
      </c>
      <c r="B110" t="s">
        <v>79</v>
      </c>
      <c r="C110" t="s">
        <v>27</v>
      </c>
      <c r="D110" t="s">
        <v>55</v>
      </c>
      <c r="E110">
        <v>23088</v>
      </c>
      <c r="F110">
        <v>21660</v>
      </c>
      <c r="G110" s="16" t="s">
        <v>17</v>
      </c>
      <c r="H110" s="3">
        <v>45414</v>
      </c>
      <c r="I110" s="3">
        <v>45424</v>
      </c>
      <c r="J110" t="s">
        <v>50</v>
      </c>
      <c r="K110" t="s">
        <v>47</v>
      </c>
      <c r="L110">
        <v>10</v>
      </c>
      <c r="M110" t="s">
        <v>31</v>
      </c>
    </row>
    <row r="111" spans="1:13" x14ac:dyDescent="0.35">
      <c r="A111" t="s">
        <v>168</v>
      </c>
      <c r="B111" t="s">
        <v>22</v>
      </c>
      <c r="C111" t="s">
        <v>15</v>
      </c>
      <c r="D111" t="s">
        <v>34</v>
      </c>
      <c r="E111">
        <v>32996</v>
      </c>
      <c r="F111">
        <v>32206</v>
      </c>
      <c r="G111" s="16" t="s">
        <v>17</v>
      </c>
      <c r="H111" s="3">
        <v>45631</v>
      </c>
      <c r="I111" s="3">
        <v>45634</v>
      </c>
      <c r="J111" t="s">
        <v>50</v>
      </c>
      <c r="K111" t="s">
        <v>47</v>
      </c>
      <c r="L111">
        <v>3</v>
      </c>
      <c r="M111" t="s">
        <v>62</v>
      </c>
    </row>
    <row r="112" spans="1:13" x14ac:dyDescent="0.35">
      <c r="A112" t="s">
        <v>169</v>
      </c>
      <c r="B112" t="s">
        <v>33</v>
      </c>
      <c r="C112" t="s">
        <v>38</v>
      </c>
      <c r="D112" t="s">
        <v>70</v>
      </c>
      <c r="E112">
        <v>30855</v>
      </c>
      <c r="F112">
        <v>29778</v>
      </c>
      <c r="G112" s="16" t="s">
        <v>17</v>
      </c>
      <c r="H112" s="3">
        <v>45525</v>
      </c>
      <c r="I112" s="3">
        <v>45526</v>
      </c>
      <c r="J112" t="s">
        <v>18</v>
      </c>
      <c r="K112" t="s">
        <v>35</v>
      </c>
      <c r="L112">
        <v>1</v>
      </c>
      <c r="M112" t="s">
        <v>44</v>
      </c>
    </row>
    <row r="113" spans="1:13" x14ac:dyDescent="0.35">
      <c r="A113" t="s">
        <v>170</v>
      </c>
      <c r="B113" t="s">
        <v>33</v>
      </c>
      <c r="C113" t="s">
        <v>15</v>
      </c>
      <c r="D113" t="s">
        <v>55</v>
      </c>
      <c r="E113">
        <v>19368</v>
      </c>
      <c r="F113">
        <v>18092</v>
      </c>
      <c r="G113" s="16" t="s">
        <v>17</v>
      </c>
      <c r="H113" s="3">
        <v>45646</v>
      </c>
      <c r="I113" s="3">
        <v>45653</v>
      </c>
      <c r="J113" t="s">
        <v>18</v>
      </c>
      <c r="K113" t="s">
        <v>30</v>
      </c>
      <c r="L113">
        <v>7</v>
      </c>
      <c r="M113" t="s">
        <v>62</v>
      </c>
    </row>
    <row r="114" spans="1:13" x14ac:dyDescent="0.35">
      <c r="A114" t="s">
        <v>171</v>
      </c>
      <c r="B114" t="s">
        <v>41</v>
      </c>
      <c r="C114" t="s">
        <v>27</v>
      </c>
      <c r="D114" t="s">
        <v>34</v>
      </c>
      <c r="E114">
        <v>43077</v>
      </c>
      <c r="F114">
        <v>41291</v>
      </c>
      <c r="G114" s="16" t="s">
        <v>17</v>
      </c>
      <c r="H114" s="3">
        <v>45569</v>
      </c>
      <c r="I114" s="3">
        <v>45570</v>
      </c>
      <c r="J114" t="s">
        <v>18</v>
      </c>
      <c r="K114" t="s">
        <v>47</v>
      </c>
      <c r="L114">
        <v>1</v>
      </c>
      <c r="M114" t="s">
        <v>76</v>
      </c>
    </row>
    <row r="115" spans="1:13" x14ac:dyDescent="0.35">
      <c r="A115" t="s">
        <v>172</v>
      </c>
      <c r="B115" t="s">
        <v>96</v>
      </c>
      <c r="C115" t="s">
        <v>46</v>
      </c>
      <c r="D115" t="s">
        <v>70</v>
      </c>
      <c r="E115">
        <v>30440</v>
      </c>
      <c r="F115">
        <v>28883</v>
      </c>
      <c r="G115" s="16" t="s">
        <v>17</v>
      </c>
      <c r="H115" s="3">
        <v>45616</v>
      </c>
      <c r="I115" s="3">
        <v>45618</v>
      </c>
      <c r="J115" t="s">
        <v>50</v>
      </c>
      <c r="K115" t="s">
        <v>47</v>
      </c>
      <c r="L115">
        <v>2</v>
      </c>
      <c r="M115" t="s">
        <v>48</v>
      </c>
    </row>
    <row r="116" spans="1:13" x14ac:dyDescent="0.35">
      <c r="A116" t="s">
        <v>173</v>
      </c>
      <c r="B116" t="s">
        <v>96</v>
      </c>
      <c r="C116" t="s">
        <v>15</v>
      </c>
      <c r="D116" t="s">
        <v>23</v>
      </c>
      <c r="E116">
        <v>23258</v>
      </c>
      <c r="F116">
        <v>22658</v>
      </c>
      <c r="G116" s="16" t="s">
        <v>17</v>
      </c>
      <c r="H116" s="3">
        <v>45475</v>
      </c>
      <c r="I116" s="3">
        <v>45481</v>
      </c>
      <c r="J116" t="s">
        <v>50</v>
      </c>
      <c r="K116" t="s">
        <v>47</v>
      </c>
      <c r="L116">
        <v>6</v>
      </c>
      <c r="M116" t="s">
        <v>85</v>
      </c>
    </row>
    <row r="117" spans="1:13" x14ac:dyDescent="0.35">
      <c r="A117" t="s">
        <v>174</v>
      </c>
      <c r="B117" t="s">
        <v>26</v>
      </c>
      <c r="C117" t="s">
        <v>27</v>
      </c>
      <c r="D117" t="s">
        <v>61</v>
      </c>
      <c r="E117">
        <v>13140</v>
      </c>
      <c r="F117">
        <v>12979</v>
      </c>
      <c r="G117" s="16" t="s">
        <v>17</v>
      </c>
      <c r="H117" s="3">
        <v>45604</v>
      </c>
      <c r="I117" s="3">
        <v>45611</v>
      </c>
      <c r="J117" t="s">
        <v>18</v>
      </c>
      <c r="K117" t="s">
        <v>35</v>
      </c>
      <c r="L117">
        <v>7</v>
      </c>
      <c r="M117" t="s">
        <v>48</v>
      </c>
    </row>
    <row r="118" spans="1:13" x14ac:dyDescent="0.35">
      <c r="A118" t="s">
        <v>175</v>
      </c>
      <c r="B118" t="s">
        <v>53</v>
      </c>
      <c r="C118" t="s">
        <v>73</v>
      </c>
      <c r="D118" t="s">
        <v>28</v>
      </c>
      <c r="E118">
        <v>32221</v>
      </c>
      <c r="F118">
        <v>31280</v>
      </c>
      <c r="G118" s="16" t="s">
        <v>17</v>
      </c>
      <c r="H118" s="3">
        <v>45422</v>
      </c>
      <c r="I118" s="3">
        <v>45423</v>
      </c>
      <c r="J118" t="s">
        <v>50</v>
      </c>
      <c r="K118" t="s">
        <v>43</v>
      </c>
      <c r="L118">
        <v>1</v>
      </c>
      <c r="M118" t="s">
        <v>31</v>
      </c>
    </row>
    <row r="119" spans="1:13" x14ac:dyDescent="0.35">
      <c r="A119" t="s">
        <v>176</v>
      </c>
      <c r="B119" t="s">
        <v>79</v>
      </c>
      <c r="C119" t="s">
        <v>73</v>
      </c>
      <c r="D119" t="s">
        <v>70</v>
      </c>
      <c r="E119">
        <v>30949</v>
      </c>
      <c r="F119">
        <v>29746</v>
      </c>
      <c r="G119" s="16" t="s">
        <v>17</v>
      </c>
      <c r="H119" s="3">
        <v>45445</v>
      </c>
      <c r="I119" s="3">
        <v>45452</v>
      </c>
      <c r="J119" t="s">
        <v>50</v>
      </c>
      <c r="K119" t="s">
        <v>35</v>
      </c>
      <c r="L119">
        <v>7</v>
      </c>
      <c r="M119" t="s">
        <v>36</v>
      </c>
    </row>
    <row r="120" spans="1:13" x14ac:dyDescent="0.35">
      <c r="A120" t="s">
        <v>177</v>
      </c>
      <c r="B120" t="s">
        <v>96</v>
      </c>
      <c r="C120" t="s">
        <v>46</v>
      </c>
      <c r="D120" t="s">
        <v>58</v>
      </c>
      <c r="E120">
        <v>33667</v>
      </c>
      <c r="F120">
        <v>33182</v>
      </c>
      <c r="G120" s="16" t="s">
        <v>17</v>
      </c>
      <c r="H120" s="3">
        <v>45487</v>
      </c>
      <c r="I120" s="3">
        <v>45497</v>
      </c>
      <c r="J120" t="s">
        <v>50</v>
      </c>
      <c r="K120" t="s">
        <v>19</v>
      </c>
      <c r="L120">
        <v>10</v>
      </c>
      <c r="M120" t="s">
        <v>85</v>
      </c>
    </row>
    <row r="121" spans="1:13" x14ac:dyDescent="0.35">
      <c r="A121" t="s">
        <v>178</v>
      </c>
      <c r="B121" t="s">
        <v>96</v>
      </c>
      <c r="C121" t="s">
        <v>38</v>
      </c>
      <c r="D121" t="s">
        <v>23</v>
      </c>
      <c r="E121">
        <v>45137</v>
      </c>
      <c r="F121">
        <v>44575</v>
      </c>
      <c r="G121" s="16" t="s">
        <v>17</v>
      </c>
      <c r="H121" s="3">
        <v>45296</v>
      </c>
      <c r="I121" s="3">
        <v>45306</v>
      </c>
      <c r="J121" t="s">
        <v>18</v>
      </c>
      <c r="K121" t="s">
        <v>19</v>
      </c>
      <c r="L121">
        <v>10</v>
      </c>
      <c r="M121" t="s">
        <v>39</v>
      </c>
    </row>
    <row r="122" spans="1:13" x14ac:dyDescent="0.35">
      <c r="A122" t="s">
        <v>179</v>
      </c>
      <c r="B122" t="s">
        <v>72</v>
      </c>
      <c r="C122" t="s">
        <v>38</v>
      </c>
      <c r="D122" t="s">
        <v>28</v>
      </c>
      <c r="E122">
        <v>41784</v>
      </c>
      <c r="F122">
        <v>41336</v>
      </c>
      <c r="G122" s="16" t="s">
        <v>17</v>
      </c>
      <c r="H122" s="3">
        <v>45617</v>
      </c>
      <c r="I122" s="3">
        <v>45621</v>
      </c>
      <c r="J122" t="s">
        <v>50</v>
      </c>
      <c r="K122" t="s">
        <v>56</v>
      </c>
      <c r="L122">
        <v>4</v>
      </c>
      <c r="M122" t="s">
        <v>48</v>
      </c>
    </row>
    <row r="123" spans="1:13" x14ac:dyDescent="0.35">
      <c r="A123" t="s">
        <v>180</v>
      </c>
      <c r="B123" t="s">
        <v>33</v>
      </c>
      <c r="C123" t="s">
        <v>15</v>
      </c>
      <c r="D123" t="s">
        <v>23</v>
      </c>
      <c r="E123">
        <v>22246</v>
      </c>
      <c r="F123">
        <v>22178</v>
      </c>
      <c r="G123" s="16" t="s">
        <v>17</v>
      </c>
      <c r="H123" s="3">
        <v>45588</v>
      </c>
      <c r="I123" s="3">
        <v>45594</v>
      </c>
      <c r="J123" t="s">
        <v>18</v>
      </c>
      <c r="K123" t="s">
        <v>47</v>
      </c>
      <c r="L123">
        <v>6</v>
      </c>
      <c r="M123" t="s">
        <v>76</v>
      </c>
    </row>
    <row r="124" spans="1:13" x14ac:dyDescent="0.35">
      <c r="A124" t="s">
        <v>181</v>
      </c>
      <c r="B124" t="s">
        <v>96</v>
      </c>
      <c r="C124" t="s">
        <v>38</v>
      </c>
      <c r="D124" t="s">
        <v>58</v>
      </c>
      <c r="E124">
        <v>13510</v>
      </c>
      <c r="F124">
        <v>13240</v>
      </c>
      <c r="G124" s="16" t="s">
        <v>17</v>
      </c>
      <c r="H124" s="3">
        <v>45568</v>
      </c>
      <c r="I124" s="3">
        <v>45574</v>
      </c>
      <c r="J124" t="s">
        <v>50</v>
      </c>
      <c r="K124" t="s">
        <v>30</v>
      </c>
      <c r="L124">
        <v>6</v>
      </c>
      <c r="M124" t="s">
        <v>76</v>
      </c>
    </row>
    <row r="125" spans="1:13" x14ac:dyDescent="0.35">
      <c r="A125" t="s">
        <v>182</v>
      </c>
      <c r="B125" t="s">
        <v>33</v>
      </c>
      <c r="C125" t="s">
        <v>38</v>
      </c>
      <c r="D125" t="s">
        <v>55</v>
      </c>
      <c r="E125">
        <v>21342</v>
      </c>
      <c r="F125">
        <v>19695</v>
      </c>
      <c r="G125" s="16" t="s">
        <v>17</v>
      </c>
      <c r="H125" s="3">
        <v>45350</v>
      </c>
      <c r="I125" s="3">
        <v>45358</v>
      </c>
      <c r="J125" t="s">
        <v>18</v>
      </c>
      <c r="K125" t="s">
        <v>47</v>
      </c>
      <c r="L125">
        <v>8</v>
      </c>
      <c r="M125" t="s">
        <v>20</v>
      </c>
    </row>
    <row r="126" spans="1:13" x14ac:dyDescent="0.35">
      <c r="A126" t="s">
        <v>183</v>
      </c>
      <c r="B126" t="s">
        <v>26</v>
      </c>
      <c r="C126" t="s">
        <v>27</v>
      </c>
      <c r="D126" t="s">
        <v>34</v>
      </c>
      <c r="E126">
        <v>7918</v>
      </c>
      <c r="F126">
        <v>7890</v>
      </c>
      <c r="G126" s="16" t="s">
        <v>17</v>
      </c>
      <c r="H126" s="3">
        <v>45427</v>
      </c>
      <c r="I126" s="3">
        <v>45436</v>
      </c>
      <c r="J126" t="s">
        <v>18</v>
      </c>
      <c r="K126" t="s">
        <v>35</v>
      </c>
      <c r="L126">
        <v>9</v>
      </c>
      <c r="M126" t="s">
        <v>31</v>
      </c>
    </row>
    <row r="127" spans="1:13" x14ac:dyDescent="0.35">
      <c r="A127" t="s">
        <v>184</v>
      </c>
      <c r="B127" t="s">
        <v>41</v>
      </c>
      <c r="C127" t="s">
        <v>38</v>
      </c>
      <c r="D127" t="s">
        <v>58</v>
      </c>
      <c r="E127">
        <v>43847</v>
      </c>
      <c r="F127">
        <v>43626</v>
      </c>
      <c r="G127" s="16" t="s">
        <v>17</v>
      </c>
      <c r="H127" s="3">
        <v>45637</v>
      </c>
      <c r="I127" s="3">
        <v>45641</v>
      </c>
      <c r="J127" t="s">
        <v>50</v>
      </c>
      <c r="K127" t="s">
        <v>47</v>
      </c>
      <c r="L127">
        <v>4</v>
      </c>
      <c r="M127" t="s">
        <v>62</v>
      </c>
    </row>
    <row r="128" spans="1:13" x14ac:dyDescent="0.35">
      <c r="A128" t="s">
        <v>185</v>
      </c>
      <c r="B128" t="s">
        <v>53</v>
      </c>
      <c r="C128" t="s">
        <v>38</v>
      </c>
      <c r="D128" t="s">
        <v>28</v>
      </c>
      <c r="E128">
        <v>44444</v>
      </c>
      <c r="F128">
        <v>43143</v>
      </c>
      <c r="G128" s="16" t="s">
        <v>17</v>
      </c>
      <c r="H128" s="3">
        <v>45529</v>
      </c>
      <c r="I128" s="3">
        <v>45534</v>
      </c>
      <c r="J128" t="s">
        <v>50</v>
      </c>
      <c r="K128" t="s">
        <v>47</v>
      </c>
      <c r="L128">
        <v>5</v>
      </c>
      <c r="M128" t="s">
        <v>44</v>
      </c>
    </row>
    <row r="129" spans="1:13" x14ac:dyDescent="0.35">
      <c r="A129" t="s">
        <v>186</v>
      </c>
      <c r="B129" t="s">
        <v>33</v>
      </c>
      <c r="C129" t="s">
        <v>15</v>
      </c>
      <c r="D129" t="s">
        <v>23</v>
      </c>
      <c r="E129">
        <v>21946</v>
      </c>
      <c r="F129">
        <v>21709</v>
      </c>
      <c r="G129" s="16" t="s">
        <v>17</v>
      </c>
      <c r="H129" s="3">
        <v>45341</v>
      </c>
      <c r="I129" s="3">
        <v>45345</v>
      </c>
      <c r="J129" t="s">
        <v>18</v>
      </c>
      <c r="K129" t="s">
        <v>35</v>
      </c>
      <c r="L129">
        <v>4</v>
      </c>
      <c r="M129" t="s">
        <v>20</v>
      </c>
    </row>
    <row r="130" spans="1:13" x14ac:dyDescent="0.35">
      <c r="A130" t="s">
        <v>187</v>
      </c>
      <c r="B130" t="s">
        <v>72</v>
      </c>
      <c r="C130" t="s">
        <v>38</v>
      </c>
      <c r="D130" t="s">
        <v>58</v>
      </c>
      <c r="E130">
        <v>40491</v>
      </c>
      <c r="F130">
        <v>38678</v>
      </c>
      <c r="G130" s="16" t="s">
        <v>17</v>
      </c>
      <c r="H130" s="3">
        <v>45504</v>
      </c>
      <c r="I130" s="3">
        <v>45506</v>
      </c>
      <c r="J130" t="s">
        <v>50</v>
      </c>
      <c r="K130" t="s">
        <v>19</v>
      </c>
      <c r="L130">
        <v>2</v>
      </c>
      <c r="M130" t="s">
        <v>85</v>
      </c>
    </row>
    <row r="131" spans="1:13" x14ac:dyDescent="0.35">
      <c r="A131" t="s">
        <v>188</v>
      </c>
      <c r="B131" t="s">
        <v>22</v>
      </c>
      <c r="C131" t="s">
        <v>38</v>
      </c>
      <c r="D131" t="s">
        <v>23</v>
      </c>
      <c r="E131">
        <v>47238</v>
      </c>
      <c r="F131">
        <v>46794</v>
      </c>
      <c r="G131" s="16" t="s">
        <v>17</v>
      </c>
      <c r="H131" s="3">
        <v>45519</v>
      </c>
      <c r="I131" s="3">
        <v>45527</v>
      </c>
      <c r="J131" t="s">
        <v>18</v>
      </c>
      <c r="K131" t="s">
        <v>30</v>
      </c>
      <c r="L131">
        <v>8</v>
      </c>
      <c r="M131" t="s">
        <v>44</v>
      </c>
    </row>
    <row r="132" spans="1:13" x14ac:dyDescent="0.35">
      <c r="A132" t="s">
        <v>189</v>
      </c>
      <c r="B132" t="s">
        <v>41</v>
      </c>
      <c r="C132" t="s">
        <v>15</v>
      </c>
      <c r="D132" t="s">
        <v>34</v>
      </c>
      <c r="E132">
        <v>37682</v>
      </c>
      <c r="F132">
        <v>37558</v>
      </c>
      <c r="G132" s="16" t="s">
        <v>17</v>
      </c>
      <c r="H132" s="3">
        <v>45495</v>
      </c>
      <c r="I132" s="3">
        <v>45500</v>
      </c>
      <c r="J132" t="s">
        <v>18</v>
      </c>
      <c r="K132" t="s">
        <v>47</v>
      </c>
      <c r="L132">
        <v>5</v>
      </c>
      <c r="M132" t="s">
        <v>85</v>
      </c>
    </row>
    <row r="133" spans="1:13" x14ac:dyDescent="0.35">
      <c r="A133" t="s">
        <v>190</v>
      </c>
      <c r="B133" t="s">
        <v>72</v>
      </c>
      <c r="C133" t="s">
        <v>15</v>
      </c>
      <c r="D133" t="s">
        <v>28</v>
      </c>
      <c r="E133">
        <v>44054</v>
      </c>
      <c r="F133">
        <v>0</v>
      </c>
      <c r="G133" s="16" t="s">
        <v>29</v>
      </c>
      <c r="H133" s="3">
        <v>45302</v>
      </c>
      <c r="I133" s="3"/>
      <c r="J133" t="s">
        <v>18</v>
      </c>
      <c r="K133" t="s">
        <v>30</v>
      </c>
      <c r="M133" t="s">
        <v>39</v>
      </c>
    </row>
    <row r="134" spans="1:13" x14ac:dyDescent="0.35">
      <c r="A134" t="s">
        <v>191</v>
      </c>
      <c r="B134" t="s">
        <v>41</v>
      </c>
      <c r="C134" t="s">
        <v>46</v>
      </c>
      <c r="D134" t="s">
        <v>61</v>
      </c>
      <c r="E134">
        <v>39000</v>
      </c>
      <c r="F134">
        <v>38860</v>
      </c>
      <c r="G134" s="16" t="s">
        <v>17</v>
      </c>
      <c r="H134" s="3">
        <v>45575</v>
      </c>
      <c r="I134" s="3">
        <v>45579</v>
      </c>
      <c r="J134" t="s">
        <v>18</v>
      </c>
      <c r="K134" t="s">
        <v>30</v>
      </c>
      <c r="L134">
        <v>4</v>
      </c>
      <c r="M134" t="s">
        <v>76</v>
      </c>
    </row>
    <row r="135" spans="1:13" x14ac:dyDescent="0.35">
      <c r="A135" t="s">
        <v>192</v>
      </c>
      <c r="B135" t="s">
        <v>26</v>
      </c>
      <c r="C135" t="s">
        <v>38</v>
      </c>
      <c r="D135" t="s">
        <v>61</v>
      </c>
      <c r="E135">
        <v>41058</v>
      </c>
      <c r="F135">
        <v>40491</v>
      </c>
      <c r="G135" s="16" t="s">
        <v>17</v>
      </c>
      <c r="H135" s="3">
        <v>45366</v>
      </c>
      <c r="I135" s="3">
        <v>45369</v>
      </c>
      <c r="J135" t="s">
        <v>50</v>
      </c>
      <c r="K135" t="s">
        <v>30</v>
      </c>
      <c r="L135">
        <v>3</v>
      </c>
      <c r="M135" t="s">
        <v>67</v>
      </c>
    </row>
    <row r="136" spans="1:13" x14ac:dyDescent="0.35">
      <c r="A136" t="s">
        <v>193</v>
      </c>
      <c r="B136" t="s">
        <v>33</v>
      </c>
      <c r="C136" t="s">
        <v>15</v>
      </c>
      <c r="D136" t="s">
        <v>23</v>
      </c>
      <c r="E136">
        <v>10637</v>
      </c>
      <c r="F136">
        <v>9904</v>
      </c>
      <c r="G136" s="16" t="s">
        <v>17</v>
      </c>
      <c r="H136" s="3">
        <v>45413</v>
      </c>
      <c r="I136" s="3">
        <v>45423</v>
      </c>
      <c r="J136" t="s">
        <v>50</v>
      </c>
      <c r="K136" t="s">
        <v>47</v>
      </c>
      <c r="L136">
        <v>10</v>
      </c>
      <c r="M136" t="s">
        <v>31</v>
      </c>
    </row>
    <row r="137" spans="1:13" x14ac:dyDescent="0.35">
      <c r="A137" t="s">
        <v>194</v>
      </c>
      <c r="B137" t="s">
        <v>33</v>
      </c>
      <c r="C137" t="s">
        <v>38</v>
      </c>
      <c r="D137" t="s">
        <v>23</v>
      </c>
      <c r="E137">
        <v>10307</v>
      </c>
      <c r="F137">
        <v>9230</v>
      </c>
      <c r="G137" s="16" t="s">
        <v>17</v>
      </c>
      <c r="H137" s="3">
        <v>45350</v>
      </c>
      <c r="I137" s="3">
        <v>45352</v>
      </c>
      <c r="J137" t="s">
        <v>50</v>
      </c>
      <c r="K137" t="s">
        <v>35</v>
      </c>
      <c r="L137">
        <v>2</v>
      </c>
      <c r="M137" t="s">
        <v>20</v>
      </c>
    </row>
    <row r="138" spans="1:13" x14ac:dyDescent="0.35">
      <c r="A138" t="s">
        <v>195</v>
      </c>
      <c r="B138" t="s">
        <v>41</v>
      </c>
      <c r="C138" t="s">
        <v>15</v>
      </c>
      <c r="D138" t="s">
        <v>55</v>
      </c>
      <c r="E138">
        <v>35019</v>
      </c>
      <c r="F138">
        <v>33083</v>
      </c>
      <c r="G138" s="16" t="s">
        <v>17</v>
      </c>
      <c r="H138" s="3">
        <v>45606</v>
      </c>
      <c r="I138" s="3">
        <v>45607</v>
      </c>
      <c r="J138" t="s">
        <v>50</v>
      </c>
      <c r="K138" t="s">
        <v>35</v>
      </c>
      <c r="L138">
        <v>1</v>
      </c>
      <c r="M138" t="s">
        <v>48</v>
      </c>
    </row>
    <row r="139" spans="1:13" x14ac:dyDescent="0.35">
      <c r="A139" t="s">
        <v>196</v>
      </c>
      <c r="B139" t="s">
        <v>60</v>
      </c>
      <c r="C139" t="s">
        <v>15</v>
      </c>
      <c r="D139" t="s">
        <v>55</v>
      </c>
      <c r="E139">
        <v>28320</v>
      </c>
      <c r="F139">
        <v>26915</v>
      </c>
      <c r="G139" s="16" t="s">
        <v>17</v>
      </c>
      <c r="H139" s="3">
        <v>45347</v>
      </c>
      <c r="I139" s="3">
        <v>45355</v>
      </c>
      <c r="J139" t="s">
        <v>50</v>
      </c>
      <c r="K139" t="s">
        <v>47</v>
      </c>
      <c r="L139">
        <v>8</v>
      </c>
      <c r="M139" t="s">
        <v>20</v>
      </c>
    </row>
    <row r="140" spans="1:13" x14ac:dyDescent="0.35">
      <c r="A140" t="s">
        <v>197</v>
      </c>
      <c r="B140" t="s">
        <v>14</v>
      </c>
      <c r="C140" t="s">
        <v>38</v>
      </c>
      <c r="D140" t="s">
        <v>61</v>
      </c>
      <c r="E140">
        <v>6304</v>
      </c>
      <c r="F140">
        <v>5741</v>
      </c>
      <c r="G140" s="16" t="s">
        <v>17</v>
      </c>
      <c r="H140" s="3">
        <v>45611</v>
      </c>
      <c r="I140" s="3">
        <v>45621</v>
      </c>
      <c r="J140" t="s">
        <v>50</v>
      </c>
      <c r="K140" t="s">
        <v>35</v>
      </c>
      <c r="L140">
        <v>10</v>
      </c>
      <c r="M140" t="s">
        <v>48</v>
      </c>
    </row>
    <row r="141" spans="1:13" x14ac:dyDescent="0.35">
      <c r="A141" t="s">
        <v>198</v>
      </c>
      <c r="B141" t="s">
        <v>53</v>
      </c>
      <c r="C141" t="s">
        <v>38</v>
      </c>
      <c r="D141" t="s">
        <v>55</v>
      </c>
      <c r="E141">
        <v>35131</v>
      </c>
      <c r="F141">
        <v>0</v>
      </c>
      <c r="G141" s="16" t="s">
        <v>29</v>
      </c>
      <c r="H141" s="3">
        <v>45512</v>
      </c>
      <c r="I141" s="3"/>
      <c r="J141" t="s">
        <v>18</v>
      </c>
      <c r="K141" t="s">
        <v>30</v>
      </c>
      <c r="M141" t="s">
        <v>44</v>
      </c>
    </row>
    <row r="142" spans="1:13" x14ac:dyDescent="0.35">
      <c r="A142" t="s">
        <v>199</v>
      </c>
      <c r="B142" t="s">
        <v>14</v>
      </c>
      <c r="C142" t="s">
        <v>46</v>
      </c>
      <c r="D142" t="s">
        <v>58</v>
      </c>
      <c r="E142">
        <v>31593</v>
      </c>
      <c r="F142">
        <v>30746</v>
      </c>
      <c r="G142" s="16" t="s">
        <v>17</v>
      </c>
      <c r="H142" s="3">
        <v>45465</v>
      </c>
      <c r="I142" s="3">
        <v>45473</v>
      </c>
      <c r="J142" t="s">
        <v>50</v>
      </c>
      <c r="K142" t="s">
        <v>35</v>
      </c>
      <c r="L142">
        <v>8</v>
      </c>
      <c r="M142" t="s">
        <v>36</v>
      </c>
    </row>
    <row r="143" spans="1:13" x14ac:dyDescent="0.35">
      <c r="A143" t="s">
        <v>200</v>
      </c>
      <c r="B143" t="s">
        <v>14</v>
      </c>
      <c r="C143" t="s">
        <v>38</v>
      </c>
      <c r="D143" t="s">
        <v>58</v>
      </c>
      <c r="E143">
        <v>22481</v>
      </c>
      <c r="F143">
        <v>21715</v>
      </c>
      <c r="G143" s="16" t="s">
        <v>17</v>
      </c>
      <c r="H143" s="3">
        <v>45370</v>
      </c>
      <c r="I143" s="3">
        <v>45378</v>
      </c>
      <c r="J143" t="s">
        <v>18</v>
      </c>
      <c r="K143" t="s">
        <v>47</v>
      </c>
      <c r="L143">
        <v>8</v>
      </c>
      <c r="M143" t="s">
        <v>67</v>
      </c>
    </row>
    <row r="144" spans="1:13" x14ac:dyDescent="0.35">
      <c r="A144" t="s">
        <v>201</v>
      </c>
      <c r="B144" t="s">
        <v>14</v>
      </c>
      <c r="C144" t="s">
        <v>15</v>
      </c>
      <c r="D144" t="s">
        <v>58</v>
      </c>
      <c r="E144">
        <v>8328</v>
      </c>
      <c r="F144">
        <v>6666</v>
      </c>
      <c r="G144" s="16" t="s">
        <v>17</v>
      </c>
      <c r="H144" s="3">
        <v>45358</v>
      </c>
      <c r="I144" s="3">
        <v>45367</v>
      </c>
      <c r="J144" t="s">
        <v>18</v>
      </c>
      <c r="K144" t="s">
        <v>19</v>
      </c>
      <c r="L144">
        <v>9</v>
      </c>
      <c r="M144" t="s">
        <v>67</v>
      </c>
    </row>
    <row r="145" spans="1:13" x14ac:dyDescent="0.35">
      <c r="A145" t="s">
        <v>202</v>
      </c>
      <c r="B145" t="s">
        <v>79</v>
      </c>
      <c r="C145" t="s">
        <v>38</v>
      </c>
      <c r="D145" t="s">
        <v>70</v>
      </c>
      <c r="E145">
        <v>28922</v>
      </c>
      <c r="F145">
        <v>27133</v>
      </c>
      <c r="G145" s="16" t="s">
        <v>17</v>
      </c>
      <c r="H145" s="3">
        <v>45632</v>
      </c>
      <c r="I145" s="3">
        <v>45639</v>
      </c>
      <c r="J145" t="s">
        <v>18</v>
      </c>
      <c r="K145" t="s">
        <v>43</v>
      </c>
      <c r="L145">
        <v>7</v>
      </c>
      <c r="M145" t="s">
        <v>62</v>
      </c>
    </row>
    <row r="146" spans="1:13" x14ac:dyDescent="0.35">
      <c r="A146" t="s">
        <v>203</v>
      </c>
      <c r="B146" t="s">
        <v>53</v>
      </c>
      <c r="C146" t="s">
        <v>38</v>
      </c>
      <c r="D146" t="s">
        <v>34</v>
      </c>
      <c r="E146">
        <v>8789</v>
      </c>
      <c r="F146">
        <v>0</v>
      </c>
      <c r="G146" s="16" t="s">
        <v>29</v>
      </c>
      <c r="H146" s="3">
        <v>45551</v>
      </c>
      <c r="I146" s="3"/>
      <c r="J146" t="s">
        <v>18</v>
      </c>
      <c r="K146" t="s">
        <v>47</v>
      </c>
      <c r="M146" t="s">
        <v>24</v>
      </c>
    </row>
    <row r="147" spans="1:13" x14ac:dyDescent="0.35">
      <c r="A147" t="s">
        <v>204</v>
      </c>
      <c r="B147" t="s">
        <v>72</v>
      </c>
      <c r="C147" t="s">
        <v>46</v>
      </c>
      <c r="D147" t="s">
        <v>70</v>
      </c>
      <c r="E147">
        <v>24945</v>
      </c>
      <c r="F147">
        <v>0</v>
      </c>
      <c r="G147" s="16" t="s">
        <v>29</v>
      </c>
      <c r="H147" s="3">
        <v>45480</v>
      </c>
      <c r="I147" s="3"/>
      <c r="J147" t="s">
        <v>18</v>
      </c>
      <c r="K147" t="s">
        <v>30</v>
      </c>
      <c r="M147" t="s">
        <v>85</v>
      </c>
    </row>
    <row r="148" spans="1:13" x14ac:dyDescent="0.35">
      <c r="A148" t="s">
        <v>205</v>
      </c>
      <c r="B148" t="s">
        <v>96</v>
      </c>
      <c r="C148" t="s">
        <v>46</v>
      </c>
      <c r="D148" t="s">
        <v>58</v>
      </c>
      <c r="E148">
        <v>38763</v>
      </c>
      <c r="F148">
        <v>0</v>
      </c>
      <c r="G148" s="16" t="s">
        <v>29</v>
      </c>
      <c r="H148" s="3">
        <v>45606</v>
      </c>
      <c r="I148" s="3"/>
      <c r="J148" t="s">
        <v>18</v>
      </c>
      <c r="K148" t="s">
        <v>19</v>
      </c>
      <c r="M148" t="s">
        <v>48</v>
      </c>
    </row>
    <row r="149" spans="1:13" x14ac:dyDescent="0.35">
      <c r="A149" t="s">
        <v>206</v>
      </c>
      <c r="B149" t="s">
        <v>96</v>
      </c>
      <c r="C149" t="s">
        <v>15</v>
      </c>
      <c r="D149" t="s">
        <v>61</v>
      </c>
      <c r="E149">
        <v>19909</v>
      </c>
      <c r="F149">
        <v>18022</v>
      </c>
      <c r="G149" s="16" t="s">
        <v>17</v>
      </c>
      <c r="H149" s="3">
        <v>45465</v>
      </c>
      <c r="I149" s="3">
        <v>45471</v>
      </c>
      <c r="J149" t="s">
        <v>18</v>
      </c>
      <c r="K149" t="s">
        <v>47</v>
      </c>
      <c r="L149">
        <v>6</v>
      </c>
      <c r="M149" t="s">
        <v>36</v>
      </c>
    </row>
    <row r="150" spans="1:13" x14ac:dyDescent="0.35">
      <c r="A150" t="s">
        <v>207</v>
      </c>
      <c r="B150" t="s">
        <v>33</v>
      </c>
      <c r="C150" t="s">
        <v>27</v>
      </c>
      <c r="D150" t="s">
        <v>70</v>
      </c>
      <c r="E150">
        <v>11297</v>
      </c>
      <c r="F150">
        <v>11110</v>
      </c>
      <c r="G150" s="16" t="s">
        <v>17</v>
      </c>
      <c r="H150" s="3">
        <v>45563</v>
      </c>
      <c r="I150" s="3">
        <v>45567</v>
      </c>
      <c r="J150" t="s">
        <v>50</v>
      </c>
      <c r="K150" t="s">
        <v>35</v>
      </c>
      <c r="L150">
        <v>4</v>
      </c>
      <c r="M150" t="s">
        <v>24</v>
      </c>
    </row>
    <row r="151" spans="1:13" x14ac:dyDescent="0.35">
      <c r="A151" t="s">
        <v>208</v>
      </c>
      <c r="B151" t="s">
        <v>72</v>
      </c>
      <c r="C151" t="s">
        <v>38</v>
      </c>
      <c r="D151" t="s">
        <v>61</v>
      </c>
      <c r="E151">
        <v>26251</v>
      </c>
      <c r="F151">
        <v>24774</v>
      </c>
      <c r="G151" s="16" t="s">
        <v>17</v>
      </c>
      <c r="H151" s="3">
        <v>45458</v>
      </c>
      <c r="I151" s="3">
        <v>45468</v>
      </c>
      <c r="J151" t="s">
        <v>18</v>
      </c>
      <c r="K151" t="s">
        <v>47</v>
      </c>
      <c r="L151">
        <v>10</v>
      </c>
      <c r="M151" t="s">
        <v>36</v>
      </c>
    </row>
    <row r="152" spans="1:13" x14ac:dyDescent="0.35">
      <c r="A152" t="s">
        <v>209</v>
      </c>
      <c r="B152" t="s">
        <v>33</v>
      </c>
      <c r="C152" t="s">
        <v>73</v>
      </c>
      <c r="D152" t="s">
        <v>23</v>
      </c>
      <c r="E152">
        <v>46169</v>
      </c>
      <c r="F152">
        <v>45612</v>
      </c>
      <c r="G152" s="16" t="s">
        <v>17</v>
      </c>
      <c r="H152" s="3">
        <v>45518</v>
      </c>
      <c r="I152" s="3">
        <v>45525</v>
      </c>
      <c r="J152" t="s">
        <v>50</v>
      </c>
      <c r="K152" t="s">
        <v>19</v>
      </c>
      <c r="L152">
        <v>7</v>
      </c>
      <c r="M152" t="s">
        <v>44</v>
      </c>
    </row>
    <row r="153" spans="1:13" x14ac:dyDescent="0.35">
      <c r="A153" t="s">
        <v>210</v>
      </c>
      <c r="B153" t="s">
        <v>72</v>
      </c>
      <c r="C153" t="s">
        <v>27</v>
      </c>
      <c r="D153" t="s">
        <v>16</v>
      </c>
      <c r="E153">
        <v>16127</v>
      </c>
      <c r="F153">
        <v>0</v>
      </c>
      <c r="G153" s="16" t="s">
        <v>29</v>
      </c>
      <c r="H153" s="3">
        <v>45350</v>
      </c>
      <c r="I153" s="3"/>
      <c r="J153" t="s">
        <v>50</v>
      </c>
      <c r="K153" t="s">
        <v>35</v>
      </c>
      <c r="M153" t="s">
        <v>20</v>
      </c>
    </row>
    <row r="154" spans="1:13" x14ac:dyDescent="0.35">
      <c r="A154" t="s">
        <v>211</v>
      </c>
      <c r="B154" t="s">
        <v>14</v>
      </c>
      <c r="C154" t="s">
        <v>38</v>
      </c>
      <c r="D154" t="s">
        <v>55</v>
      </c>
      <c r="E154">
        <v>36533</v>
      </c>
      <c r="F154">
        <v>36440</v>
      </c>
      <c r="G154" s="16" t="s">
        <v>17</v>
      </c>
      <c r="H154" s="3">
        <v>45404</v>
      </c>
      <c r="I154" s="3">
        <v>45411</v>
      </c>
      <c r="J154" t="s">
        <v>18</v>
      </c>
      <c r="K154" t="s">
        <v>47</v>
      </c>
      <c r="L154">
        <v>7</v>
      </c>
      <c r="M154" t="s">
        <v>51</v>
      </c>
    </row>
    <row r="155" spans="1:13" x14ac:dyDescent="0.35">
      <c r="A155" t="s">
        <v>212</v>
      </c>
      <c r="B155" t="s">
        <v>26</v>
      </c>
      <c r="C155" t="s">
        <v>38</v>
      </c>
      <c r="D155" t="s">
        <v>28</v>
      </c>
      <c r="E155">
        <v>10993</v>
      </c>
      <c r="F155">
        <v>10401</v>
      </c>
      <c r="G155" s="16" t="s">
        <v>17</v>
      </c>
      <c r="H155" s="3">
        <v>45459</v>
      </c>
      <c r="I155" s="3">
        <v>45461</v>
      </c>
      <c r="J155" t="s">
        <v>18</v>
      </c>
      <c r="K155" t="s">
        <v>35</v>
      </c>
      <c r="L155">
        <v>2</v>
      </c>
      <c r="M155" t="s">
        <v>36</v>
      </c>
    </row>
    <row r="156" spans="1:13" x14ac:dyDescent="0.35">
      <c r="A156" t="s">
        <v>213</v>
      </c>
      <c r="B156" t="s">
        <v>22</v>
      </c>
      <c r="C156" t="s">
        <v>73</v>
      </c>
      <c r="D156" t="s">
        <v>61</v>
      </c>
      <c r="E156">
        <v>26917</v>
      </c>
      <c r="F156">
        <v>0</v>
      </c>
      <c r="G156" s="16" t="s">
        <v>29</v>
      </c>
      <c r="H156" s="3">
        <v>45652</v>
      </c>
      <c r="I156" s="3"/>
      <c r="J156" t="s">
        <v>18</v>
      </c>
      <c r="K156" t="s">
        <v>19</v>
      </c>
      <c r="M156" t="s">
        <v>62</v>
      </c>
    </row>
    <row r="157" spans="1:13" x14ac:dyDescent="0.35">
      <c r="A157" t="s">
        <v>214</v>
      </c>
      <c r="B157" t="s">
        <v>79</v>
      </c>
      <c r="C157" t="s">
        <v>38</v>
      </c>
      <c r="D157" t="s">
        <v>70</v>
      </c>
      <c r="E157">
        <v>28022</v>
      </c>
      <c r="F157">
        <v>27129</v>
      </c>
      <c r="G157" s="16" t="s">
        <v>17</v>
      </c>
      <c r="H157" s="3">
        <v>45301</v>
      </c>
      <c r="I157" s="3">
        <v>45309</v>
      </c>
      <c r="J157" t="s">
        <v>18</v>
      </c>
      <c r="K157" t="s">
        <v>30</v>
      </c>
      <c r="L157">
        <v>8</v>
      </c>
      <c r="M157" t="s">
        <v>39</v>
      </c>
    </row>
    <row r="158" spans="1:13" x14ac:dyDescent="0.35">
      <c r="A158" t="s">
        <v>215</v>
      </c>
      <c r="B158" t="s">
        <v>41</v>
      </c>
      <c r="C158" t="s">
        <v>27</v>
      </c>
      <c r="D158" t="s">
        <v>58</v>
      </c>
      <c r="E158">
        <v>48497</v>
      </c>
      <c r="F158">
        <v>47905</v>
      </c>
      <c r="G158" s="16" t="s">
        <v>17</v>
      </c>
      <c r="H158" s="3">
        <v>45350</v>
      </c>
      <c r="I158" s="3">
        <v>45357</v>
      </c>
      <c r="J158" t="s">
        <v>18</v>
      </c>
      <c r="K158" t="s">
        <v>43</v>
      </c>
      <c r="L158">
        <v>7</v>
      </c>
      <c r="M158" t="s">
        <v>20</v>
      </c>
    </row>
    <row r="159" spans="1:13" x14ac:dyDescent="0.35">
      <c r="A159" t="s">
        <v>216</v>
      </c>
      <c r="B159" t="s">
        <v>33</v>
      </c>
      <c r="C159" t="s">
        <v>64</v>
      </c>
      <c r="D159" t="s">
        <v>34</v>
      </c>
      <c r="E159">
        <v>7775</v>
      </c>
      <c r="F159">
        <v>6046</v>
      </c>
      <c r="G159" s="16" t="s">
        <v>17</v>
      </c>
      <c r="H159" s="3">
        <v>45346</v>
      </c>
      <c r="I159" s="3">
        <v>45350</v>
      </c>
      <c r="J159" t="s">
        <v>50</v>
      </c>
      <c r="K159" t="s">
        <v>19</v>
      </c>
      <c r="L159">
        <v>4</v>
      </c>
      <c r="M159" t="s">
        <v>20</v>
      </c>
    </row>
    <row r="160" spans="1:13" x14ac:dyDescent="0.35">
      <c r="A160" t="s">
        <v>217</v>
      </c>
      <c r="B160" t="s">
        <v>22</v>
      </c>
      <c r="C160" t="s">
        <v>15</v>
      </c>
      <c r="D160" t="s">
        <v>58</v>
      </c>
      <c r="E160">
        <v>22334</v>
      </c>
      <c r="F160">
        <v>21881</v>
      </c>
      <c r="G160" s="16" t="s">
        <v>17</v>
      </c>
      <c r="H160" s="3">
        <v>45462</v>
      </c>
      <c r="I160" s="3">
        <v>45465</v>
      </c>
      <c r="J160" t="s">
        <v>18</v>
      </c>
      <c r="K160" t="s">
        <v>19</v>
      </c>
      <c r="L160">
        <v>3</v>
      </c>
      <c r="M160" t="s">
        <v>36</v>
      </c>
    </row>
    <row r="161" spans="1:13" x14ac:dyDescent="0.35">
      <c r="A161" t="s">
        <v>218</v>
      </c>
      <c r="B161" t="s">
        <v>14</v>
      </c>
      <c r="C161" t="s">
        <v>46</v>
      </c>
      <c r="D161" t="s">
        <v>34</v>
      </c>
      <c r="E161">
        <v>25009</v>
      </c>
      <c r="F161">
        <v>24526</v>
      </c>
      <c r="G161" s="16" t="s">
        <v>17</v>
      </c>
      <c r="H161" s="3">
        <v>45344</v>
      </c>
      <c r="I161" s="3">
        <v>45347</v>
      </c>
      <c r="J161" t="s">
        <v>50</v>
      </c>
      <c r="K161" t="s">
        <v>47</v>
      </c>
      <c r="L161">
        <v>3</v>
      </c>
      <c r="M161" t="s">
        <v>20</v>
      </c>
    </row>
    <row r="162" spans="1:13" x14ac:dyDescent="0.35">
      <c r="A162" t="s">
        <v>219</v>
      </c>
      <c r="B162" t="s">
        <v>33</v>
      </c>
      <c r="C162" t="s">
        <v>73</v>
      </c>
      <c r="D162" t="s">
        <v>70</v>
      </c>
      <c r="E162">
        <v>13609</v>
      </c>
      <c r="F162">
        <v>12659</v>
      </c>
      <c r="G162" s="16" t="s">
        <v>17</v>
      </c>
      <c r="H162" s="3">
        <v>45580</v>
      </c>
      <c r="I162" s="3">
        <v>45590</v>
      </c>
      <c r="J162" t="s">
        <v>50</v>
      </c>
      <c r="K162" t="s">
        <v>56</v>
      </c>
      <c r="L162">
        <v>10</v>
      </c>
      <c r="M162" t="s">
        <v>76</v>
      </c>
    </row>
    <row r="163" spans="1:13" x14ac:dyDescent="0.35">
      <c r="A163" t="s">
        <v>220</v>
      </c>
      <c r="B163" t="s">
        <v>53</v>
      </c>
      <c r="C163" t="s">
        <v>38</v>
      </c>
      <c r="D163" t="s">
        <v>34</v>
      </c>
      <c r="E163">
        <v>11893</v>
      </c>
      <c r="F163">
        <v>11754</v>
      </c>
      <c r="G163" s="16" t="s">
        <v>17</v>
      </c>
      <c r="H163" s="3">
        <v>45532</v>
      </c>
      <c r="I163" s="3">
        <v>45540</v>
      </c>
      <c r="J163" t="s">
        <v>50</v>
      </c>
      <c r="K163" t="s">
        <v>30</v>
      </c>
      <c r="L163">
        <v>8</v>
      </c>
      <c r="M163" t="s">
        <v>44</v>
      </c>
    </row>
    <row r="164" spans="1:13" x14ac:dyDescent="0.35">
      <c r="A164" t="s">
        <v>221</v>
      </c>
      <c r="B164" t="s">
        <v>96</v>
      </c>
      <c r="C164" t="s">
        <v>15</v>
      </c>
      <c r="D164" t="s">
        <v>34</v>
      </c>
      <c r="E164">
        <v>35248</v>
      </c>
      <c r="F164">
        <v>34613</v>
      </c>
      <c r="G164" s="16" t="s">
        <v>17</v>
      </c>
      <c r="H164" s="3">
        <v>45528</v>
      </c>
      <c r="I164" s="3">
        <v>45536</v>
      </c>
      <c r="J164" t="s">
        <v>18</v>
      </c>
      <c r="K164" t="s">
        <v>47</v>
      </c>
      <c r="L164">
        <v>8</v>
      </c>
      <c r="M164" t="s">
        <v>44</v>
      </c>
    </row>
    <row r="165" spans="1:13" x14ac:dyDescent="0.35">
      <c r="A165" t="s">
        <v>222</v>
      </c>
      <c r="B165" t="s">
        <v>41</v>
      </c>
      <c r="C165" t="s">
        <v>38</v>
      </c>
      <c r="D165" t="s">
        <v>70</v>
      </c>
      <c r="E165">
        <v>44248</v>
      </c>
      <c r="F165">
        <v>42989</v>
      </c>
      <c r="G165" s="16" t="s">
        <v>17</v>
      </c>
      <c r="H165" s="3">
        <v>45596</v>
      </c>
      <c r="I165" s="3">
        <v>45605</v>
      </c>
      <c r="J165" t="s">
        <v>50</v>
      </c>
      <c r="K165" t="s">
        <v>35</v>
      </c>
      <c r="L165">
        <v>9</v>
      </c>
      <c r="M165" t="s">
        <v>76</v>
      </c>
    </row>
    <row r="166" spans="1:13" x14ac:dyDescent="0.35">
      <c r="A166" t="s">
        <v>223</v>
      </c>
      <c r="B166" t="s">
        <v>53</v>
      </c>
      <c r="C166" t="s">
        <v>15</v>
      </c>
      <c r="D166" t="s">
        <v>55</v>
      </c>
      <c r="E166">
        <v>39464</v>
      </c>
      <c r="F166">
        <v>38806</v>
      </c>
      <c r="G166" s="16" t="s">
        <v>17</v>
      </c>
      <c r="H166" s="3">
        <v>45601</v>
      </c>
      <c r="I166" s="3">
        <v>45609</v>
      </c>
      <c r="J166" t="s">
        <v>18</v>
      </c>
      <c r="K166" t="s">
        <v>47</v>
      </c>
      <c r="L166">
        <v>8</v>
      </c>
      <c r="M166" t="s">
        <v>48</v>
      </c>
    </row>
    <row r="167" spans="1:13" x14ac:dyDescent="0.35">
      <c r="A167" t="s">
        <v>224</v>
      </c>
      <c r="B167" t="s">
        <v>72</v>
      </c>
      <c r="C167" t="s">
        <v>15</v>
      </c>
      <c r="D167" t="s">
        <v>34</v>
      </c>
      <c r="E167">
        <v>48813</v>
      </c>
      <c r="F167">
        <v>47780</v>
      </c>
      <c r="G167" s="16" t="s">
        <v>17</v>
      </c>
      <c r="H167" s="3">
        <v>45622</v>
      </c>
      <c r="I167" s="3">
        <v>45625</v>
      </c>
      <c r="J167" t="s">
        <v>18</v>
      </c>
      <c r="K167" t="s">
        <v>47</v>
      </c>
      <c r="L167">
        <v>3</v>
      </c>
      <c r="M167" t="s">
        <v>48</v>
      </c>
    </row>
    <row r="168" spans="1:13" x14ac:dyDescent="0.35">
      <c r="A168" t="s">
        <v>225</v>
      </c>
      <c r="B168" t="s">
        <v>72</v>
      </c>
      <c r="C168" t="s">
        <v>64</v>
      </c>
      <c r="D168" t="s">
        <v>61</v>
      </c>
      <c r="E168">
        <v>25848</v>
      </c>
      <c r="F168">
        <v>23969</v>
      </c>
      <c r="G168" s="16" t="s">
        <v>17</v>
      </c>
      <c r="H168" s="3">
        <v>45436</v>
      </c>
      <c r="I168" s="3">
        <v>45443</v>
      </c>
      <c r="J168" t="s">
        <v>50</v>
      </c>
      <c r="K168" t="s">
        <v>30</v>
      </c>
      <c r="L168">
        <v>7</v>
      </c>
      <c r="M168" t="s">
        <v>31</v>
      </c>
    </row>
    <row r="169" spans="1:13" x14ac:dyDescent="0.35">
      <c r="A169" t="s">
        <v>226</v>
      </c>
      <c r="B169" t="s">
        <v>41</v>
      </c>
      <c r="C169" t="s">
        <v>15</v>
      </c>
      <c r="D169" t="s">
        <v>34</v>
      </c>
      <c r="E169">
        <v>6319</v>
      </c>
      <c r="F169">
        <v>6126</v>
      </c>
      <c r="G169" s="16" t="s">
        <v>17</v>
      </c>
      <c r="H169" s="3">
        <v>45577</v>
      </c>
      <c r="I169" s="3">
        <v>45584</v>
      </c>
      <c r="J169" t="s">
        <v>50</v>
      </c>
      <c r="K169" t="s">
        <v>43</v>
      </c>
      <c r="L169">
        <v>7</v>
      </c>
      <c r="M169" t="s">
        <v>76</v>
      </c>
    </row>
    <row r="170" spans="1:13" x14ac:dyDescent="0.35">
      <c r="A170" t="s">
        <v>227</v>
      </c>
      <c r="B170" t="s">
        <v>53</v>
      </c>
      <c r="C170" t="s">
        <v>73</v>
      </c>
      <c r="D170" t="s">
        <v>34</v>
      </c>
      <c r="E170">
        <v>7341</v>
      </c>
      <c r="F170">
        <v>0</v>
      </c>
      <c r="G170" s="16" t="s">
        <v>29</v>
      </c>
      <c r="H170" s="3">
        <v>45631</v>
      </c>
      <c r="I170" s="3"/>
      <c r="J170" t="s">
        <v>18</v>
      </c>
      <c r="K170" t="s">
        <v>43</v>
      </c>
      <c r="M170" t="s">
        <v>62</v>
      </c>
    </row>
    <row r="171" spans="1:13" x14ac:dyDescent="0.35">
      <c r="A171" t="s">
        <v>228</v>
      </c>
      <c r="B171" t="s">
        <v>96</v>
      </c>
      <c r="C171" t="s">
        <v>27</v>
      </c>
      <c r="D171" t="s">
        <v>61</v>
      </c>
      <c r="E171">
        <v>40996</v>
      </c>
      <c r="F171">
        <v>40362</v>
      </c>
      <c r="G171" s="16" t="s">
        <v>17</v>
      </c>
      <c r="H171" s="3">
        <v>45578</v>
      </c>
      <c r="I171" s="3">
        <v>45585</v>
      </c>
      <c r="J171" t="s">
        <v>50</v>
      </c>
      <c r="K171" t="s">
        <v>30</v>
      </c>
      <c r="L171">
        <v>7</v>
      </c>
      <c r="M171" t="s">
        <v>76</v>
      </c>
    </row>
    <row r="172" spans="1:13" x14ac:dyDescent="0.35">
      <c r="A172" t="s">
        <v>229</v>
      </c>
      <c r="B172" t="s">
        <v>33</v>
      </c>
      <c r="C172" t="s">
        <v>15</v>
      </c>
      <c r="D172" t="s">
        <v>58</v>
      </c>
      <c r="E172">
        <v>35324</v>
      </c>
      <c r="F172">
        <v>35287</v>
      </c>
      <c r="G172" s="16" t="s">
        <v>17</v>
      </c>
      <c r="H172" s="3">
        <v>45477</v>
      </c>
      <c r="I172" s="3">
        <v>45482</v>
      </c>
      <c r="J172" t="s">
        <v>18</v>
      </c>
      <c r="K172" t="s">
        <v>47</v>
      </c>
      <c r="L172">
        <v>5</v>
      </c>
      <c r="M172" t="s">
        <v>85</v>
      </c>
    </row>
    <row r="173" spans="1:13" x14ac:dyDescent="0.35">
      <c r="A173" t="s">
        <v>230</v>
      </c>
      <c r="B173" t="s">
        <v>41</v>
      </c>
      <c r="C173" t="s">
        <v>64</v>
      </c>
      <c r="D173" t="s">
        <v>28</v>
      </c>
      <c r="E173">
        <v>16846</v>
      </c>
      <c r="F173">
        <v>16529</v>
      </c>
      <c r="G173" s="16" t="s">
        <v>17</v>
      </c>
      <c r="H173" s="3">
        <v>45331</v>
      </c>
      <c r="I173" s="3">
        <v>45336</v>
      </c>
      <c r="J173" t="s">
        <v>18</v>
      </c>
      <c r="K173" t="s">
        <v>19</v>
      </c>
      <c r="L173">
        <v>5</v>
      </c>
      <c r="M173" t="s">
        <v>20</v>
      </c>
    </row>
    <row r="174" spans="1:13" x14ac:dyDescent="0.35">
      <c r="A174" t="s">
        <v>231</v>
      </c>
      <c r="B174" t="s">
        <v>79</v>
      </c>
      <c r="C174" t="s">
        <v>15</v>
      </c>
      <c r="D174" t="s">
        <v>34</v>
      </c>
      <c r="E174">
        <v>42503</v>
      </c>
      <c r="F174">
        <v>41280</v>
      </c>
      <c r="G174" s="16" t="s">
        <v>17</v>
      </c>
      <c r="H174" s="3">
        <v>45484</v>
      </c>
      <c r="I174" s="3">
        <v>45487</v>
      </c>
      <c r="J174" t="s">
        <v>18</v>
      </c>
      <c r="K174" t="s">
        <v>47</v>
      </c>
      <c r="L174">
        <v>3</v>
      </c>
      <c r="M174" t="s">
        <v>85</v>
      </c>
    </row>
    <row r="175" spans="1:13" x14ac:dyDescent="0.35">
      <c r="A175" t="s">
        <v>232</v>
      </c>
      <c r="B175" t="s">
        <v>53</v>
      </c>
      <c r="C175" t="s">
        <v>73</v>
      </c>
      <c r="D175" t="s">
        <v>55</v>
      </c>
      <c r="E175">
        <v>4863</v>
      </c>
      <c r="F175">
        <v>4117</v>
      </c>
      <c r="G175" s="16" t="s">
        <v>17</v>
      </c>
      <c r="H175" s="3">
        <v>45638</v>
      </c>
      <c r="I175" s="3">
        <v>45642</v>
      </c>
      <c r="J175" t="s">
        <v>50</v>
      </c>
      <c r="K175" t="s">
        <v>19</v>
      </c>
      <c r="L175">
        <v>4</v>
      </c>
      <c r="M175" t="s">
        <v>62</v>
      </c>
    </row>
    <row r="176" spans="1:13" x14ac:dyDescent="0.35">
      <c r="A176" t="s">
        <v>233</v>
      </c>
      <c r="B176" t="s">
        <v>96</v>
      </c>
      <c r="C176" t="s">
        <v>64</v>
      </c>
      <c r="D176" t="s">
        <v>28</v>
      </c>
      <c r="E176">
        <v>36996</v>
      </c>
      <c r="F176">
        <v>36363</v>
      </c>
      <c r="G176" s="16" t="s">
        <v>17</v>
      </c>
      <c r="H176" s="3">
        <v>45532</v>
      </c>
      <c r="I176" s="3">
        <v>45536</v>
      </c>
      <c r="J176" t="s">
        <v>50</v>
      </c>
      <c r="K176" t="s">
        <v>56</v>
      </c>
      <c r="L176">
        <v>4</v>
      </c>
      <c r="M176" t="s">
        <v>44</v>
      </c>
    </row>
    <row r="177" spans="1:13" x14ac:dyDescent="0.35">
      <c r="A177" t="s">
        <v>234</v>
      </c>
      <c r="B177" t="s">
        <v>53</v>
      </c>
      <c r="C177" t="s">
        <v>64</v>
      </c>
      <c r="D177" t="s">
        <v>55</v>
      </c>
      <c r="E177">
        <v>20466</v>
      </c>
      <c r="F177">
        <v>19437</v>
      </c>
      <c r="G177" s="16" t="s">
        <v>17</v>
      </c>
      <c r="H177" s="3">
        <v>45562</v>
      </c>
      <c r="I177" s="3">
        <v>45569</v>
      </c>
      <c r="J177" t="s">
        <v>18</v>
      </c>
      <c r="K177" t="s">
        <v>30</v>
      </c>
      <c r="L177">
        <v>7</v>
      </c>
      <c r="M177" t="s">
        <v>24</v>
      </c>
    </row>
    <row r="178" spans="1:13" x14ac:dyDescent="0.35">
      <c r="A178" t="s">
        <v>235</v>
      </c>
      <c r="B178" t="s">
        <v>26</v>
      </c>
      <c r="C178" t="s">
        <v>73</v>
      </c>
      <c r="D178" t="s">
        <v>16</v>
      </c>
      <c r="E178">
        <v>5419</v>
      </c>
      <c r="F178">
        <v>3629</v>
      </c>
      <c r="G178" s="16" t="s">
        <v>17</v>
      </c>
      <c r="H178" s="3">
        <v>45482</v>
      </c>
      <c r="I178" s="3">
        <v>45491</v>
      </c>
      <c r="J178" t="s">
        <v>18</v>
      </c>
      <c r="K178" t="s">
        <v>56</v>
      </c>
      <c r="L178">
        <v>9</v>
      </c>
      <c r="M178" t="s">
        <v>85</v>
      </c>
    </row>
    <row r="179" spans="1:13" x14ac:dyDescent="0.35">
      <c r="A179" t="s">
        <v>236</v>
      </c>
      <c r="B179" t="s">
        <v>79</v>
      </c>
      <c r="C179" t="s">
        <v>15</v>
      </c>
      <c r="D179" t="s">
        <v>16</v>
      </c>
      <c r="E179">
        <v>7496</v>
      </c>
      <c r="F179">
        <v>6938</v>
      </c>
      <c r="G179" s="16" t="s">
        <v>17</v>
      </c>
      <c r="H179" s="3">
        <v>45522</v>
      </c>
      <c r="I179" s="3">
        <v>45531</v>
      </c>
      <c r="J179" t="s">
        <v>18</v>
      </c>
      <c r="K179" t="s">
        <v>30</v>
      </c>
      <c r="L179">
        <v>9</v>
      </c>
      <c r="M179" t="s">
        <v>44</v>
      </c>
    </row>
    <row r="180" spans="1:13" x14ac:dyDescent="0.35">
      <c r="A180" t="s">
        <v>237</v>
      </c>
      <c r="B180" t="s">
        <v>22</v>
      </c>
      <c r="C180" t="s">
        <v>15</v>
      </c>
      <c r="D180" t="s">
        <v>28</v>
      </c>
      <c r="E180">
        <v>31565</v>
      </c>
      <c r="F180">
        <v>29660</v>
      </c>
      <c r="G180" s="16" t="s">
        <v>17</v>
      </c>
      <c r="H180" s="3">
        <v>45305</v>
      </c>
      <c r="I180" s="3">
        <v>45312</v>
      </c>
      <c r="J180" t="s">
        <v>18</v>
      </c>
      <c r="K180" t="s">
        <v>35</v>
      </c>
      <c r="L180">
        <v>7</v>
      </c>
      <c r="M180" t="s">
        <v>39</v>
      </c>
    </row>
    <row r="181" spans="1:13" x14ac:dyDescent="0.35">
      <c r="A181" t="s">
        <v>238</v>
      </c>
      <c r="B181" t="s">
        <v>79</v>
      </c>
      <c r="C181" t="s">
        <v>38</v>
      </c>
      <c r="D181" t="s">
        <v>28</v>
      </c>
      <c r="E181">
        <v>27307</v>
      </c>
      <c r="F181">
        <v>26540</v>
      </c>
      <c r="G181" s="16" t="s">
        <v>17</v>
      </c>
      <c r="H181" s="3">
        <v>45406</v>
      </c>
      <c r="I181" s="3">
        <v>45407</v>
      </c>
      <c r="J181" t="s">
        <v>50</v>
      </c>
      <c r="K181" t="s">
        <v>47</v>
      </c>
      <c r="L181">
        <v>1</v>
      </c>
      <c r="M181" t="s">
        <v>51</v>
      </c>
    </row>
    <row r="182" spans="1:13" x14ac:dyDescent="0.35">
      <c r="A182" t="s">
        <v>239</v>
      </c>
      <c r="B182" t="s">
        <v>41</v>
      </c>
      <c r="C182" t="s">
        <v>73</v>
      </c>
      <c r="D182" t="s">
        <v>61</v>
      </c>
      <c r="E182">
        <v>4510</v>
      </c>
      <c r="F182">
        <v>2632</v>
      </c>
      <c r="G182" s="16" t="s">
        <v>17</v>
      </c>
      <c r="H182" s="3">
        <v>45533</v>
      </c>
      <c r="I182" s="3">
        <v>45536</v>
      </c>
      <c r="J182" t="s">
        <v>50</v>
      </c>
      <c r="K182" t="s">
        <v>35</v>
      </c>
      <c r="L182">
        <v>3</v>
      </c>
      <c r="M182" t="s">
        <v>44</v>
      </c>
    </row>
    <row r="183" spans="1:13" x14ac:dyDescent="0.35">
      <c r="A183" t="s">
        <v>240</v>
      </c>
      <c r="B183" t="s">
        <v>53</v>
      </c>
      <c r="C183" t="s">
        <v>15</v>
      </c>
      <c r="D183" t="s">
        <v>70</v>
      </c>
      <c r="E183">
        <v>3245</v>
      </c>
      <c r="F183">
        <v>2804</v>
      </c>
      <c r="G183" s="16" t="s">
        <v>17</v>
      </c>
      <c r="H183" s="3">
        <v>45368</v>
      </c>
      <c r="I183" s="3">
        <v>45377</v>
      </c>
      <c r="J183" t="s">
        <v>50</v>
      </c>
      <c r="K183" t="s">
        <v>47</v>
      </c>
      <c r="L183">
        <v>9</v>
      </c>
      <c r="M183" t="s">
        <v>67</v>
      </c>
    </row>
    <row r="184" spans="1:13" x14ac:dyDescent="0.35">
      <c r="A184" t="s">
        <v>241</v>
      </c>
      <c r="B184" t="s">
        <v>96</v>
      </c>
      <c r="C184" t="s">
        <v>46</v>
      </c>
      <c r="D184" t="s">
        <v>16</v>
      </c>
      <c r="E184">
        <v>9985</v>
      </c>
      <c r="F184">
        <v>9497</v>
      </c>
      <c r="G184" s="16" t="s">
        <v>17</v>
      </c>
      <c r="H184" s="3">
        <v>45506</v>
      </c>
      <c r="I184" s="3">
        <v>45516</v>
      </c>
      <c r="J184" t="s">
        <v>50</v>
      </c>
      <c r="K184" t="s">
        <v>47</v>
      </c>
      <c r="L184">
        <v>10</v>
      </c>
      <c r="M184" t="s">
        <v>44</v>
      </c>
    </row>
    <row r="185" spans="1:13" x14ac:dyDescent="0.35">
      <c r="A185" t="s">
        <v>242</v>
      </c>
      <c r="B185" t="s">
        <v>14</v>
      </c>
      <c r="C185" t="s">
        <v>64</v>
      </c>
      <c r="D185" t="s">
        <v>23</v>
      </c>
      <c r="E185">
        <v>43415</v>
      </c>
      <c r="F185">
        <v>0</v>
      </c>
      <c r="G185" s="16" t="s">
        <v>29</v>
      </c>
      <c r="H185" s="3">
        <v>45586</v>
      </c>
      <c r="I185" s="3"/>
      <c r="J185" t="s">
        <v>18</v>
      </c>
      <c r="K185" t="s">
        <v>56</v>
      </c>
      <c r="M185" t="s">
        <v>76</v>
      </c>
    </row>
    <row r="186" spans="1:13" x14ac:dyDescent="0.35">
      <c r="A186" t="s">
        <v>243</v>
      </c>
      <c r="B186" t="s">
        <v>33</v>
      </c>
      <c r="C186" t="s">
        <v>38</v>
      </c>
      <c r="D186" t="s">
        <v>58</v>
      </c>
      <c r="E186">
        <v>2102</v>
      </c>
      <c r="F186">
        <v>0</v>
      </c>
      <c r="G186" s="16" t="s">
        <v>29</v>
      </c>
      <c r="H186" s="3">
        <v>45472</v>
      </c>
      <c r="I186" s="3"/>
      <c r="J186" t="s">
        <v>18</v>
      </c>
      <c r="K186" t="s">
        <v>19</v>
      </c>
      <c r="M186" t="s">
        <v>36</v>
      </c>
    </row>
    <row r="187" spans="1:13" x14ac:dyDescent="0.35">
      <c r="A187" t="s">
        <v>244</v>
      </c>
      <c r="B187" t="s">
        <v>22</v>
      </c>
      <c r="C187" t="s">
        <v>73</v>
      </c>
      <c r="D187" t="s">
        <v>70</v>
      </c>
      <c r="E187">
        <v>36307</v>
      </c>
      <c r="F187">
        <v>36169</v>
      </c>
      <c r="G187" s="16" t="s">
        <v>17</v>
      </c>
      <c r="H187" s="3">
        <v>45561</v>
      </c>
      <c r="I187" s="3">
        <v>45570</v>
      </c>
      <c r="J187" t="s">
        <v>18</v>
      </c>
      <c r="K187" t="s">
        <v>35</v>
      </c>
      <c r="L187">
        <v>9</v>
      </c>
      <c r="M187" t="s">
        <v>24</v>
      </c>
    </row>
    <row r="188" spans="1:13" x14ac:dyDescent="0.35">
      <c r="A188" t="s">
        <v>245</v>
      </c>
      <c r="B188" t="s">
        <v>72</v>
      </c>
      <c r="C188" t="s">
        <v>15</v>
      </c>
      <c r="D188" t="s">
        <v>58</v>
      </c>
      <c r="E188">
        <v>26464</v>
      </c>
      <c r="F188">
        <v>24934</v>
      </c>
      <c r="G188" s="16" t="s">
        <v>17</v>
      </c>
      <c r="H188" s="3">
        <v>45300</v>
      </c>
      <c r="I188" s="3">
        <v>45306</v>
      </c>
      <c r="J188" t="s">
        <v>18</v>
      </c>
      <c r="K188" t="s">
        <v>43</v>
      </c>
      <c r="L188">
        <v>6</v>
      </c>
      <c r="M188" t="s">
        <v>39</v>
      </c>
    </row>
    <row r="189" spans="1:13" x14ac:dyDescent="0.35">
      <c r="A189" t="s">
        <v>246</v>
      </c>
      <c r="B189" t="s">
        <v>26</v>
      </c>
      <c r="C189" t="s">
        <v>15</v>
      </c>
      <c r="D189" t="s">
        <v>34</v>
      </c>
      <c r="E189">
        <v>10743</v>
      </c>
      <c r="F189">
        <v>10022</v>
      </c>
      <c r="G189" s="16" t="s">
        <v>17</v>
      </c>
      <c r="H189" s="3">
        <v>45571</v>
      </c>
      <c r="I189" s="3">
        <v>45577</v>
      </c>
      <c r="J189" t="s">
        <v>18</v>
      </c>
      <c r="K189" t="s">
        <v>30</v>
      </c>
      <c r="L189">
        <v>6</v>
      </c>
      <c r="M189" t="s">
        <v>76</v>
      </c>
    </row>
    <row r="190" spans="1:13" x14ac:dyDescent="0.35">
      <c r="A190" t="s">
        <v>247</v>
      </c>
      <c r="B190" t="s">
        <v>72</v>
      </c>
      <c r="C190" t="s">
        <v>64</v>
      </c>
      <c r="D190" t="s">
        <v>61</v>
      </c>
      <c r="E190">
        <v>10837</v>
      </c>
      <c r="F190">
        <v>9371</v>
      </c>
      <c r="G190" s="16" t="s">
        <v>17</v>
      </c>
      <c r="H190" s="3">
        <v>45526</v>
      </c>
      <c r="I190" s="3">
        <v>45527</v>
      </c>
      <c r="J190" t="s">
        <v>50</v>
      </c>
      <c r="K190" t="s">
        <v>47</v>
      </c>
      <c r="L190">
        <v>1</v>
      </c>
      <c r="M190" t="s">
        <v>44</v>
      </c>
    </row>
    <row r="191" spans="1:13" x14ac:dyDescent="0.35">
      <c r="A191" t="s">
        <v>248</v>
      </c>
      <c r="B191" t="s">
        <v>60</v>
      </c>
      <c r="C191" t="s">
        <v>46</v>
      </c>
      <c r="D191" t="s">
        <v>23</v>
      </c>
      <c r="E191">
        <v>22682</v>
      </c>
      <c r="F191">
        <v>21627</v>
      </c>
      <c r="G191" s="16" t="s">
        <v>17</v>
      </c>
      <c r="H191" s="3">
        <v>45495</v>
      </c>
      <c r="I191" s="3">
        <v>45504</v>
      </c>
      <c r="J191" t="s">
        <v>50</v>
      </c>
      <c r="K191" t="s">
        <v>43</v>
      </c>
      <c r="L191">
        <v>9</v>
      </c>
      <c r="M191" t="s">
        <v>85</v>
      </c>
    </row>
    <row r="192" spans="1:13" x14ac:dyDescent="0.35">
      <c r="A192" t="s">
        <v>249</v>
      </c>
      <c r="B192" t="s">
        <v>60</v>
      </c>
      <c r="C192" t="s">
        <v>46</v>
      </c>
      <c r="D192" t="s">
        <v>16</v>
      </c>
      <c r="E192">
        <v>25394</v>
      </c>
      <c r="F192">
        <v>23621</v>
      </c>
      <c r="G192" s="16" t="s">
        <v>17</v>
      </c>
      <c r="H192" s="3">
        <v>45627</v>
      </c>
      <c r="I192" s="3">
        <v>45633</v>
      </c>
      <c r="J192" t="s">
        <v>50</v>
      </c>
      <c r="K192" t="s">
        <v>47</v>
      </c>
      <c r="L192">
        <v>6</v>
      </c>
      <c r="M192" t="s">
        <v>62</v>
      </c>
    </row>
    <row r="193" spans="1:13" x14ac:dyDescent="0.35">
      <c r="A193" t="s">
        <v>250</v>
      </c>
      <c r="B193" t="s">
        <v>41</v>
      </c>
      <c r="C193" t="s">
        <v>27</v>
      </c>
      <c r="D193" t="s">
        <v>58</v>
      </c>
      <c r="E193">
        <v>30818</v>
      </c>
      <c r="F193">
        <v>30124</v>
      </c>
      <c r="G193" s="16" t="s">
        <v>17</v>
      </c>
      <c r="H193" s="3">
        <v>45387</v>
      </c>
      <c r="I193" s="3">
        <v>45395</v>
      </c>
      <c r="J193" t="s">
        <v>50</v>
      </c>
      <c r="K193" t="s">
        <v>43</v>
      </c>
      <c r="L193">
        <v>8</v>
      </c>
      <c r="M193" t="s">
        <v>51</v>
      </c>
    </row>
    <row r="194" spans="1:13" x14ac:dyDescent="0.35">
      <c r="A194" t="s">
        <v>251</v>
      </c>
      <c r="B194" t="s">
        <v>79</v>
      </c>
      <c r="C194" t="s">
        <v>38</v>
      </c>
      <c r="D194" t="s">
        <v>70</v>
      </c>
      <c r="E194">
        <v>49650</v>
      </c>
      <c r="F194">
        <v>49489</v>
      </c>
      <c r="G194" s="16" t="s">
        <v>17</v>
      </c>
      <c r="H194" s="3">
        <v>45512</v>
      </c>
      <c r="I194" s="3">
        <v>45522</v>
      </c>
      <c r="J194" t="s">
        <v>18</v>
      </c>
      <c r="K194" t="s">
        <v>19</v>
      </c>
      <c r="L194">
        <v>10</v>
      </c>
      <c r="M194" t="s">
        <v>44</v>
      </c>
    </row>
    <row r="195" spans="1:13" x14ac:dyDescent="0.35">
      <c r="A195" t="s">
        <v>252</v>
      </c>
      <c r="B195" t="s">
        <v>96</v>
      </c>
      <c r="C195" t="s">
        <v>38</v>
      </c>
      <c r="D195" t="s">
        <v>70</v>
      </c>
      <c r="E195">
        <v>7247</v>
      </c>
      <c r="F195">
        <v>5894</v>
      </c>
      <c r="G195" s="16" t="s">
        <v>17</v>
      </c>
      <c r="H195" s="3">
        <v>45443</v>
      </c>
      <c r="I195" s="3">
        <v>45448</v>
      </c>
      <c r="J195" t="s">
        <v>50</v>
      </c>
      <c r="K195" t="s">
        <v>19</v>
      </c>
      <c r="L195">
        <v>5</v>
      </c>
      <c r="M195" t="s">
        <v>31</v>
      </c>
    </row>
    <row r="196" spans="1:13" x14ac:dyDescent="0.35">
      <c r="A196" t="s">
        <v>253</v>
      </c>
      <c r="B196" t="s">
        <v>22</v>
      </c>
      <c r="C196" t="s">
        <v>73</v>
      </c>
      <c r="D196" t="s">
        <v>55</v>
      </c>
      <c r="E196">
        <v>25038</v>
      </c>
      <c r="F196">
        <v>24952</v>
      </c>
      <c r="G196" s="16" t="s">
        <v>17</v>
      </c>
      <c r="H196" s="3">
        <v>45472</v>
      </c>
      <c r="I196" s="3">
        <v>45482</v>
      </c>
      <c r="J196" t="s">
        <v>50</v>
      </c>
      <c r="K196" t="s">
        <v>43</v>
      </c>
      <c r="L196">
        <v>10</v>
      </c>
      <c r="M196" t="s">
        <v>36</v>
      </c>
    </row>
    <row r="197" spans="1:13" x14ac:dyDescent="0.35">
      <c r="A197" t="s">
        <v>254</v>
      </c>
      <c r="B197" t="s">
        <v>60</v>
      </c>
      <c r="C197" t="s">
        <v>15</v>
      </c>
      <c r="D197" t="s">
        <v>58</v>
      </c>
      <c r="E197">
        <v>25809</v>
      </c>
      <c r="F197">
        <v>0</v>
      </c>
      <c r="G197" s="16" t="s">
        <v>29</v>
      </c>
      <c r="H197" s="3">
        <v>45639</v>
      </c>
      <c r="I197" s="3"/>
      <c r="J197" t="s">
        <v>18</v>
      </c>
      <c r="K197" t="s">
        <v>47</v>
      </c>
      <c r="M197" t="s">
        <v>62</v>
      </c>
    </row>
    <row r="198" spans="1:13" x14ac:dyDescent="0.35">
      <c r="A198" t="s">
        <v>255</v>
      </c>
      <c r="B198" t="s">
        <v>33</v>
      </c>
      <c r="C198" t="s">
        <v>64</v>
      </c>
      <c r="D198" t="s">
        <v>23</v>
      </c>
      <c r="E198">
        <v>10272</v>
      </c>
      <c r="F198">
        <v>9789</v>
      </c>
      <c r="G198" s="16" t="s">
        <v>17</v>
      </c>
      <c r="H198" s="3">
        <v>45622</v>
      </c>
      <c r="I198" s="3">
        <v>45628</v>
      </c>
      <c r="J198" t="s">
        <v>50</v>
      </c>
      <c r="K198" t="s">
        <v>35</v>
      </c>
      <c r="L198">
        <v>6</v>
      </c>
      <c r="M198" t="s">
        <v>48</v>
      </c>
    </row>
    <row r="199" spans="1:13" x14ac:dyDescent="0.35">
      <c r="A199" t="s">
        <v>256</v>
      </c>
      <c r="B199" t="s">
        <v>53</v>
      </c>
      <c r="C199" t="s">
        <v>15</v>
      </c>
      <c r="D199" t="s">
        <v>61</v>
      </c>
      <c r="E199">
        <v>46503</v>
      </c>
      <c r="F199">
        <v>44560</v>
      </c>
      <c r="G199" s="16" t="s">
        <v>17</v>
      </c>
      <c r="H199" s="3">
        <v>45481</v>
      </c>
      <c r="I199" s="3">
        <v>45487</v>
      </c>
      <c r="J199" t="s">
        <v>50</v>
      </c>
      <c r="K199" t="s">
        <v>30</v>
      </c>
      <c r="L199">
        <v>6</v>
      </c>
      <c r="M199" t="s">
        <v>85</v>
      </c>
    </row>
    <row r="200" spans="1:13" x14ac:dyDescent="0.35">
      <c r="A200" t="s">
        <v>257</v>
      </c>
      <c r="B200" t="s">
        <v>14</v>
      </c>
      <c r="C200" t="s">
        <v>73</v>
      </c>
      <c r="D200" t="s">
        <v>34</v>
      </c>
      <c r="E200">
        <v>28085</v>
      </c>
      <c r="F200">
        <v>26755</v>
      </c>
      <c r="G200" s="16" t="s">
        <v>17</v>
      </c>
      <c r="H200" s="3">
        <v>45434</v>
      </c>
      <c r="I200" s="3">
        <v>45438</v>
      </c>
      <c r="J200" t="s">
        <v>18</v>
      </c>
      <c r="K200" t="s">
        <v>47</v>
      </c>
      <c r="L200">
        <v>4</v>
      </c>
      <c r="M200" t="s">
        <v>31</v>
      </c>
    </row>
    <row r="201" spans="1:13" x14ac:dyDescent="0.35">
      <c r="A201" t="s">
        <v>258</v>
      </c>
      <c r="B201" t="s">
        <v>33</v>
      </c>
      <c r="C201" t="s">
        <v>64</v>
      </c>
      <c r="D201" t="s">
        <v>58</v>
      </c>
      <c r="E201">
        <v>38809</v>
      </c>
      <c r="F201">
        <v>38273</v>
      </c>
      <c r="G201" s="16" t="s">
        <v>17</v>
      </c>
      <c r="H201" s="3">
        <v>45425</v>
      </c>
      <c r="I201" s="3">
        <v>45433</v>
      </c>
      <c r="J201" t="s">
        <v>18</v>
      </c>
      <c r="K201" t="s">
        <v>19</v>
      </c>
      <c r="L201">
        <v>8</v>
      </c>
      <c r="M201" t="s">
        <v>31</v>
      </c>
    </row>
    <row r="202" spans="1:13" x14ac:dyDescent="0.35">
      <c r="A202" t="s">
        <v>259</v>
      </c>
      <c r="B202" t="s">
        <v>96</v>
      </c>
      <c r="C202" t="s">
        <v>64</v>
      </c>
      <c r="D202" t="s">
        <v>28</v>
      </c>
      <c r="E202">
        <v>10037</v>
      </c>
      <c r="F202">
        <v>8291</v>
      </c>
      <c r="G202" s="16" t="s">
        <v>17</v>
      </c>
      <c r="H202" s="3">
        <v>45329</v>
      </c>
      <c r="I202" s="3">
        <v>45337</v>
      </c>
      <c r="J202" t="s">
        <v>18</v>
      </c>
      <c r="K202" t="s">
        <v>56</v>
      </c>
      <c r="L202">
        <v>8</v>
      </c>
      <c r="M202" t="s">
        <v>20</v>
      </c>
    </row>
    <row r="203" spans="1:13" x14ac:dyDescent="0.35">
      <c r="A203" t="s">
        <v>260</v>
      </c>
      <c r="B203" t="s">
        <v>72</v>
      </c>
      <c r="C203" t="s">
        <v>15</v>
      </c>
      <c r="D203" t="s">
        <v>34</v>
      </c>
      <c r="E203">
        <v>45767</v>
      </c>
      <c r="F203">
        <v>44314</v>
      </c>
      <c r="G203" s="16" t="s">
        <v>17</v>
      </c>
      <c r="H203" s="3">
        <v>45325</v>
      </c>
      <c r="I203" s="3">
        <v>45334</v>
      </c>
      <c r="J203" t="s">
        <v>50</v>
      </c>
      <c r="K203" t="s">
        <v>43</v>
      </c>
      <c r="L203">
        <v>9</v>
      </c>
      <c r="M203" t="s">
        <v>20</v>
      </c>
    </row>
    <row r="204" spans="1:13" x14ac:dyDescent="0.35">
      <c r="A204" t="s">
        <v>261</v>
      </c>
      <c r="B204" t="s">
        <v>33</v>
      </c>
      <c r="C204" t="s">
        <v>73</v>
      </c>
      <c r="D204" t="s">
        <v>34</v>
      </c>
      <c r="E204">
        <v>35341</v>
      </c>
      <c r="F204">
        <v>35093</v>
      </c>
      <c r="G204" s="16" t="s">
        <v>17</v>
      </c>
      <c r="H204" s="3">
        <v>45394</v>
      </c>
      <c r="I204" s="3">
        <v>45397</v>
      </c>
      <c r="J204" t="s">
        <v>18</v>
      </c>
      <c r="K204" t="s">
        <v>30</v>
      </c>
      <c r="L204">
        <v>3</v>
      </c>
      <c r="M204" t="s">
        <v>51</v>
      </c>
    </row>
    <row r="205" spans="1:13" x14ac:dyDescent="0.35">
      <c r="A205" t="s">
        <v>262</v>
      </c>
      <c r="B205" t="s">
        <v>72</v>
      </c>
      <c r="C205" t="s">
        <v>15</v>
      </c>
      <c r="D205" t="s">
        <v>34</v>
      </c>
      <c r="E205">
        <v>38308</v>
      </c>
      <c r="F205">
        <v>0</v>
      </c>
      <c r="G205" s="16" t="s">
        <v>29</v>
      </c>
      <c r="H205" s="3">
        <v>45480</v>
      </c>
      <c r="I205" s="3"/>
      <c r="J205" t="s">
        <v>50</v>
      </c>
      <c r="K205" t="s">
        <v>30</v>
      </c>
      <c r="M205" t="s">
        <v>85</v>
      </c>
    </row>
    <row r="206" spans="1:13" x14ac:dyDescent="0.35">
      <c r="A206" t="s">
        <v>263</v>
      </c>
      <c r="B206" t="s">
        <v>79</v>
      </c>
      <c r="C206" t="s">
        <v>73</v>
      </c>
      <c r="D206" t="s">
        <v>70</v>
      </c>
      <c r="E206">
        <v>6308</v>
      </c>
      <c r="F206">
        <v>5493</v>
      </c>
      <c r="G206" s="16" t="s">
        <v>17</v>
      </c>
      <c r="H206" s="3">
        <v>45537</v>
      </c>
      <c r="I206" s="3">
        <v>45546</v>
      </c>
      <c r="J206" t="s">
        <v>50</v>
      </c>
      <c r="K206" t="s">
        <v>30</v>
      </c>
      <c r="L206">
        <v>9</v>
      </c>
      <c r="M206" t="s">
        <v>24</v>
      </c>
    </row>
    <row r="207" spans="1:13" x14ac:dyDescent="0.35">
      <c r="A207" t="s">
        <v>264</v>
      </c>
      <c r="B207" t="s">
        <v>22</v>
      </c>
      <c r="C207" t="s">
        <v>15</v>
      </c>
      <c r="D207" t="s">
        <v>61</v>
      </c>
      <c r="E207">
        <v>22776</v>
      </c>
      <c r="F207">
        <v>21855</v>
      </c>
      <c r="G207" s="16" t="s">
        <v>17</v>
      </c>
      <c r="H207" s="3">
        <v>45530</v>
      </c>
      <c r="I207" s="3">
        <v>45539</v>
      </c>
      <c r="J207" t="s">
        <v>50</v>
      </c>
      <c r="K207" t="s">
        <v>47</v>
      </c>
      <c r="L207">
        <v>9</v>
      </c>
      <c r="M207" t="s">
        <v>44</v>
      </c>
    </row>
    <row r="208" spans="1:13" x14ac:dyDescent="0.35">
      <c r="A208" t="s">
        <v>265</v>
      </c>
      <c r="B208" t="s">
        <v>79</v>
      </c>
      <c r="C208" t="s">
        <v>73</v>
      </c>
      <c r="D208" t="s">
        <v>61</v>
      </c>
      <c r="E208">
        <v>30352</v>
      </c>
      <c r="F208">
        <v>0</v>
      </c>
      <c r="G208" s="16" t="s">
        <v>29</v>
      </c>
      <c r="H208" s="3">
        <v>45320</v>
      </c>
      <c r="I208" s="3"/>
      <c r="J208" t="s">
        <v>18</v>
      </c>
      <c r="K208" t="s">
        <v>19</v>
      </c>
      <c r="M208" t="s">
        <v>39</v>
      </c>
    </row>
    <row r="209" spans="1:13" x14ac:dyDescent="0.35">
      <c r="A209" t="s">
        <v>266</v>
      </c>
      <c r="B209" t="s">
        <v>33</v>
      </c>
      <c r="C209" t="s">
        <v>38</v>
      </c>
      <c r="D209" t="s">
        <v>61</v>
      </c>
      <c r="E209">
        <v>12614</v>
      </c>
      <c r="F209">
        <v>10700</v>
      </c>
      <c r="G209" s="16" t="s">
        <v>17</v>
      </c>
      <c r="H209" s="3">
        <v>45655</v>
      </c>
      <c r="I209" s="3">
        <v>45659</v>
      </c>
      <c r="J209" t="s">
        <v>50</v>
      </c>
      <c r="K209" t="s">
        <v>19</v>
      </c>
      <c r="L209">
        <v>4</v>
      </c>
      <c r="M209" t="s">
        <v>62</v>
      </c>
    </row>
    <row r="210" spans="1:13" x14ac:dyDescent="0.35">
      <c r="A210" t="s">
        <v>267</v>
      </c>
      <c r="B210" t="s">
        <v>96</v>
      </c>
      <c r="C210" t="s">
        <v>15</v>
      </c>
      <c r="D210" t="s">
        <v>16</v>
      </c>
      <c r="E210">
        <v>14864</v>
      </c>
      <c r="F210">
        <v>0</v>
      </c>
      <c r="G210" s="16" t="s">
        <v>29</v>
      </c>
      <c r="H210" s="3">
        <v>45432</v>
      </c>
      <c r="I210" s="3"/>
      <c r="J210" t="s">
        <v>18</v>
      </c>
      <c r="K210" t="s">
        <v>56</v>
      </c>
      <c r="M210" t="s">
        <v>31</v>
      </c>
    </row>
    <row r="211" spans="1:13" x14ac:dyDescent="0.35">
      <c r="A211" t="s">
        <v>268</v>
      </c>
      <c r="B211" t="s">
        <v>96</v>
      </c>
      <c r="C211" t="s">
        <v>15</v>
      </c>
      <c r="D211" t="s">
        <v>61</v>
      </c>
      <c r="E211">
        <v>40784</v>
      </c>
      <c r="F211">
        <v>0</v>
      </c>
      <c r="G211" s="16" t="s">
        <v>29</v>
      </c>
      <c r="H211" s="3">
        <v>45370</v>
      </c>
      <c r="I211" s="3"/>
      <c r="J211" t="s">
        <v>18</v>
      </c>
      <c r="K211" t="s">
        <v>56</v>
      </c>
      <c r="M211" t="s">
        <v>67</v>
      </c>
    </row>
    <row r="212" spans="1:13" x14ac:dyDescent="0.35">
      <c r="A212" t="s">
        <v>269</v>
      </c>
      <c r="B212" t="s">
        <v>53</v>
      </c>
      <c r="C212" t="s">
        <v>38</v>
      </c>
      <c r="D212" t="s">
        <v>23</v>
      </c>
      <c r="E212">
        <v>3859</v>
      </c>
      <c r="F212">
        <v>3766</v>
      </c>
      <c r="G212" s="16" t="s">
        <v>17</v>
      </c>
      <c r="H212" s="3">
        <v>45620</v>
      </c>
      <c r="I212" s="3">
        <v>45630</v>
      </c>
      <c r="J212" t="s">
        <v>50</v>
      </c>
      <c r="K212" t="s">
        <v>56</v>
      </c>
      <c r="L212">
        <v>10</v>
      </c>
      <c r="M212" t="s">
        <v>48</v>
      </c>
    </row>
    <row r="213" spans="1:13" x14ac:dyDescent="0.35">
      <c r="A213" t="s">
        <v>270</v>
      </c>
      <c r="B213" t="s">
        <v>26</v>
      </c>
      <c r="C213" t="s">
        <v>27</v>
      </c>
      <c r="D213" t="s">
        <v>23</v>
      </c>
      <c r="E213">
        <v>34639</v>
      </c>
      <c r="F213">
        <v>0</v>
      </c>
      <c r="G213" s="16" t="s">
        <v>29</v>
      </c>
      <c r="H213" s="3">
        <v>45440</v>
      </c>
      <c r="I213" s="3"/>
      <c r="J213" t="s">
        <v>50</v>
      </c>
      <c r="K213" t="s">
        <v>35</v>
      </c>
      <c r="M213" t="s">
        <v>31</v>
      </c>
    </row>
    <row r="214" spans="1:13" x14ac:dyDescent="0.35">
      <c r="A214" t="s">
        <v>271</v>
      </c>
      <c r="B214" t="s">
        <v>26</v>
      </c>
      <c r="C214" t="s">
        <v>27</v>
      </c>
      <c r="D214" t="s">
        <v>16</v>
      </c>
      <c r="E214">
        <v>31723</v>
      </c>
      <c r="F214">
        <v>30313</v>
      </c>
      <c r="G214" s="16" t="s">
        <v>17</v>
      </c>
      <c r="H214" s="3">
        <v>45322</v>
      </c>
      <c r="I214" s="3">
        <v>45325</v>
      </c>
      <c r="J214" t="s">
        <v>50</v>
      </c>
      <c r="K214" t="s">
        <v>35</v>
      </c>
      <c r="L214">
        <v>3</v>
      </c>
      <c r="M214" t="s">
        <v>39</v>
      </c>
    </row>
    <row r="215" spans="1:13" x14ac:dyDescent="0.35">
      <c r="A215" t="s">
        <v>272</v>
      </c>
      <c r="B215" t="s">
        <v>72</v>
      </c>
      <c r="C215" t="s">
        <v>64</v>
      </c>
      <c r="D215" t="s">
        <v>28</v>
      </c>
      <c r="E215">
        <v>24294</v>
      </c>
      <c r="F215">
        <v>0</v>
      </c>
      <c r="G215" s="16" t="s">
        <v>29</v>
      </c>
      <c r="H215" s="3">
        <v>45365</v>
      </c>
      <c r="I215" s="3"/>
      <c r="J215" t="s">
        <v>50</v>
      </c>
      <c r="K215" t="s">
        <v>30</v>
      </c>
      <c r="M215" t="s">
        <v>67</v>
      </c>
    </row>
    <row r="216" spans="1:13" x14ac:dyDescent="0.35">
      <c r="A216" t="s">
        <v>273</v>
      </c>
      <c r="B216" t="s">
        <v>41</v>
      </c>
      <c r="C216" t="s">
        <v>38</v>
      </c>
      <c r="D216" t="s">
        <v>58</v>
      </c>
      <c r="E216">
        <v>10569</v>
      </c>
      <c r="F216">
        <v>9515</v>
      </c>
      <c r="G216" s="16" t="s">
        <v>17</v>
      </c>
      <c r="H216" s="3">
        <v>45579</v>
      </c>
      <c r="I216" s="3">
        <v>45581</v>
      </c>
      <c r="J216" t="s">
        <v>50</v>
      </c>
      <c r="K216" t="s">
        <v>47</v>
      </c>
      <c r="L216">
        <v>2</v>
      </c>
      <c r="M216" t="s">
        <v>76</v>
      </c>
    </row>
    <row r="217" spans="1:13" x14ac:dyDescent="0.35">
      <c r="A217" t="s">
        <v>274</v>
      </c>
      <c r="B217" t="s">
        <v>72</v>
      </c>
      <c r="C217" t="s">
        <v>15</v>
      </c>
      <c r="D217" t="s">
        <v>16</v>
      </c>
      <c r="E217">
        <v>31464</v>
      </c>
      <c r="F217">
        <v>31176</v>
      </c>
      <c r="G217" s="16" t="s">
        <v>17</v>
      </c>
      <c r="H217" s="3">
        <v>45341</v>
      </c>
      <c r="I217" s="3">
        <v>45342</v>
      </c>
      <c r="J217" t="s">
        <v>50</v>
      </c>
      <c r="K217" t="s">
        <v>35</v>
      </c>
      <c r="L217">
        <v>1</v>
      </c>
      <c r="M217" t="s">
        <v>20</v>
      </c>
    </row>
    <row r="218" spans="1:13" x14ac:dyDescent="0.35">
      <c r="A218" t="s">
        <v>275</v>
      </c>
      <c r="B218" t="s">
        <v>53</v>
      </c>
      <c r="C218" t="s">
        <v>27</v>
      </c>
      <c r="D218" t="s">
        <v>28</v>
      </c>
      <c r="E218">
        <v>12466</v>
      </c>
      <c r="F218">
        <v>10554</v>
      </c>
      <c r="G218" s="16" t="s">
        <v>17</v>
      </c>
      <c r="H218" s="3">
        <v>45587</v>
      </c>
      <c r="I218" s="3">
        <v>45593</v>
      </c>
      <c r="J218" t="s">
        <v>18</v>
      </c>
      <c r="K218" t="s">
        <v>30</v>
      </c>
      <c r="L218">
        <v>6</v>
      </c>
      <c r="M218" t="s">
        <v>76</v>
      </c>
    </row>
    <row r="219" spans="1:13" x14ac:dyDescent="0.35">
      <c r="A219" t="s">
        <v>276</v>
      </c>
      <c r="B219" t="s">
        <v>33</v>
      </c>
      <c r="C219" t="s">
        <v>64</v>
      </c>
      <c r="D219" t="s">
        <v>55</v>
      </c>
      <c r="E219">
        <v>34686</v>
      </c>
      <c r="F219">
        <v>33668</v>
      </c>
      <c r="G219" s="16" t="s">
        <v>17</v>
      </c>
      <c r="H219" s="3">
        <v>45303</v>
      </c>
      <c r="I219" s="3">
        <v>45305</v>
      </c>
      <c r="J219" t="s">
        <v>50</v>
      </c>
      <c r="K219" t="s">
        <v>19</v>
      </c>
      <c r="L219">
        <v>2</v>
      </c>
      <c r="M219" t="s">
        <v>39</v>
      </c>
    </row>
    <row r="220" spans="1:13" x14ac:dyDescent="0.35">
      <c r="A220" t="s">
        <v>277</v>
      </c>
      <c r="B220" t="s">
        <v>72</v>
      </c>
      <c r="C220" t="s">
        <v>46</v>
      </c>
      <c r="D220" t="s">
        <v>28</v>
      </c>
      <c r="E220">
        <v>40230</v>
      </c>
      <c r="F220">
        <v>40131</v>
      </c>
      <c r="G220" s="16" t="s">
        <v>17</v>
      </c>
      <c r="H220" s="3">
        <v>45317</v>
      </c>
      <c r="I220" s="3">
        <v>45322</v>
      </c>
      <c r="J220" t="s">
        <v>50</v>
      </c>
      <c r="K220" t="s">
        <v>19</v>
      </c>
      <c r="L220">
        <v>5</v>
      </c>
      <c r="M220" t="s">
        <v>39</v>
      </c>
    </row>
    <row r="221" spans="1:13" x14ac:dyDescent="0.35">
      <c r="A221" t="s">
        <v>278</v>
      </c>
      <c r="B221" t="s">
        <v>72</v>
      </c>
      <c r="C221" t="s">
        <v>38</v>
      </c>
      <c r="D221" t="s">
        <v>23</v>
      </c>
      <c r="E221">
        <v>9044</v>
      </c>
      <c r="F221">
        <v>8770</v>
      </c>
      <c r="G221" s="16" t="s">
        <v>17</v>
      </c>
      <c r="H221" s="3">
        <v>45427</v>
      </c>
      <c r="I221" s="3">
        <v>45433</v>
      </c>
      <c r="J221" t="s">
        <v>50</v>
      </c>
      <c r="K221" t="s">
        <v>43</v>
      </c>
      <c r="L221">
        <v>6</v>
      </c>
      <c r="M221" t="s">
        <v>31</v>
      </c>
    </row>
    <row r="222" spans="1:13" x14ac:dyDescent="0.35">
      <c r="A222" t="s">
        <v>279</v>
      </c>
      <c r="B222" t="s">
        <v>60</v>
      </c>
      <c r="C222" t="s">
        <v>27</v>
      </c>
      <c r="D222" t="s">
        <v>23</v>
      </c>
      <c r="E222">
        <v>39373</v>
      </c>
      <c r="F222">
        <v>0</v>
      </c>
      <c r="G222" s="16" t="s">
        <v>29</v>
      </c>
      <c r="H222" s="3">
        <v>45391</v>
      </c>
      <c r="I222" s="3"/>
      <c r="J222" t="s">
        <v>50</v>
      </c>
      <c r="K222" t="s">
        <v>19</v>
      </c>
      <c r="M222" t="s">
        <v>51</v>
      </c>
    </row>
    <row r="223" spans="1:13" x14ac:dyDescent="0.35">
      <c r="A223" t="s">
        <v>280</v>
      </c>
      <c r="B223" t="s">
        <v>96</v>
      </c>
      <c r="C223" t="s">
        <v>15</v>
      </c>
      <c r="D223" t="s">
        <v>58</v>
      </c>
      <c r="E223">
        <v>35046</v>
      </c>
      <c r="F223">
        <v>33481</v>
      </c>
      <c r="G223" s="16" t="s">
        <v>17</v>
      </c>
      <c r="H223" s="3">
        <v>45573</v>
      </c>
      <c r="I223" s="3">
        <v>45578</v>
      </c>
      <c r="J223" t="s">
        <v>18</v>
      </c>
      <c r="K223" t="s">
        <v>47</v>
      </c>
      <c r="L223">
        <v>5</v>
      </c>
      <c r="M223" t="s">
        <v>76</v>
      </c>
    </row>
    <row r="224" spans="1:13" x14ac:dyDescent="0.35">
      <c r="A224" t="s">
        <v>281</v>
      </c>
      <c r="B224" t="s">
        <v>14</v>
      </c>
      <c r="C224" t="s">
        <v>27</v>
      </c>
      <c r="D224" t="s">
        <v>34</v>
      </c>
      <c r="E224">
        <v>24222</v>
      </c>
      <c r="F224">
        <v>0</v>
      </c>
      <c r="G224" s="16" t="s">
        <v>29</v>
      </c>
      <c r="H224" s="3">
        <v>45479</v>
      </c>
      <c r="I224" s="3"/>
      <c r="J224" t="s">
        <v>18</v>
      </c>
      <c r="K224" t="s">
        <v>47</v>
      </c>
      <c r="M224" t="s">
        <v>85</v>
      </c>
    </row>
    <row r="225" spans="1:13" x14ac:dyDescent="0.35">
      <c r="A225" t="s">
        <v>282</v>
      </c>
      <c r="B225" t="s">
        <v>53</v>
      </c>
      <c r="C225" t="s">
        <v>27</v>
      </c>
      <c r="D225" t="s">
        <v>23</v>
      </c>
      <c r="E225">
        <v>4969</v>
      </c>
      <c r="F225">
        <v>4689</v>
      </c>
      <c r="G225" s="16" t="s">
        <v>17</v>
      </c>
      <c r="H225" s="3">
        <v>45657</v>
      </c>
      <c r="I225" s="3">
        <v>45663</v>
      </c>
      <c r="J225" t="s">
        <v>50</v>
      </c>
      <c r="K225" t="s">
        <v>19</v>
      </c>
      <c r="L225">
        <v>6</v>
      </c>
      <c r="M225" t="s">
        <v>62</v>
      </c>
    </row>
    <row r="226" spans="1:13" x14ac:dyDescent="0.35">
      <c r="A226" t="s">
        <v>283</v>
      </c>
      <c r="B226" t="s">
        <v>72</v>
      </c>
      <c r="C226" t="s">
        <v>73</v>
      </c>
      <c r="D226" t="s">
        <v>61</v>
      </c>
      <c r="E226">
        <v>23493</v>
      </c>
      <c r="F226">
        <v>0</v>
      </c>
      <c r="G226" s="16" t="s">
        <v>29</v>
      </c>
      <c r="H226" s="3">
        <v>45455</v>
      </c>
      <c r="I226" s="3"/>
      <c r="J226" t="s">
        <v>18</v>
      </c>
      <c r="K226" t="s">
        <v>35</v>
      </c>
      <c r="M226" t="s">
        <v>36</v>
      </c>
    </row>
    <row r="227" spans="1:13" x14ac:dyDescent="0.35">
      <c r="A227" t="s">
        <v>284</v>
      </c>
      <c r="B227" t="s">
        <v>53</v>
      </c>
      <c r="C227" t="s">
        <v>38</v>
      </c>
      <c r="D227" t="s">
        <v>34</v>
      </c>
      <c r="E227">
        <v>35247</v>
      </c>
      <c r="F227">
        <v>0</v>
      </c>
      <c r="G227" s="16" t="s">
        <v>29</v>
      </c>
      <c r="H227" s="3">
        <v>45564</v>
      </c>
      <c r="I227" s="3"/>
      <c r="J227" t="s">
        <v>50</v>
      </c>
      <c r="K227" t="s">
        <v>56</v>
      </c>
      <c r="M227" t="s">
        <v>24</v>
      </c>
    </row>
    <row r="228" spans="1:13" x14ac:dyDescent="0.35">
      <c r="A228" t="s">
        <v>285</v>
      </c>
      <c r="B228" t="s">
        <v>53</v>
      </c>
      <c r="C228" t="s">
        <v>38</v>
      </c>
      <c r="D228" t="s">
        <v>55</v>
      </c>
      <c r="E228">
        <v>3090</v>
      </c>
      <c r="F228">
        <v>2412</v>
      </c>
      <c r="G228" s="16" t="s">
        <v>17</v>
      </c>
      <c r="H228" s="3">
        <v>45636</v>
      </c>
      <c r="I228" s="3">
        <v>45638</v>
      </c>
      <c r="J228" t="s">
        <v>50</v>
      </c>
      <c r="K228" t="s">
        <v>19</v>
      </c>
      <c r="L228">
        <v>2</v>
      </c>
      <c r="M228" t="s">
        <v>62</v>
      </c>
    </row>
    <row r="229" spans="1:13" x14ac:dyDescent="0.35">
      <c r="A229" t="s">
        <v>286</v>
      </c>
      <c r="B229" t="s">
        <v>96</v>
      </c>
      <c r="C229" t="s">
        <v>15</v>
      </c>
      <c r="D229" t="s">
        <v>55</v>
      </c>
      <c r="E229">
        <v>19401</v>
      </c>
      <c r="F229">
        <v>0</v>
      </c>
      <c r="G229" s="16" t="s">
        <v>29</v>
      </c>
      <c r="H229" s="3">
        <v>45587</v>
      </c>
      <c r="I229" s="3"/>
      <c r="J229" t="s">
        <v>18</v>
      </c>
      <c r="K229" t="s">
        <v>56</v>
      </c>
      <c r="M229" t="s">
        <v>76</v>
      </c>
    </row>
    <row r="230" spans="1:13" x14ac:dyDescent="0.35">
      <c r="A230" t="s">
        <v>287</v>
      </c>
      <c r="B230" t="s">
        <v>60</v>
      </c>
      <c r="C230" t="s">
        <v>64</v>
      </c>
      <c r="D230" t="s">
        <v>61</v>
      </c>
      <c r="E230">
        <v>36356</v>
      </c>
      <c r="F230">
        <v>0</v>
      </c>
      <c r="G230" s="16" t="s">
        <v>29</v>
      </c>
      <c r="H230" s="3">
        <v>45486</v>
      </c>
      <c r="I230" s="3"/>
      <c r="J230" t="s">
        <v>18</v>
      </c>
      <c r="K230" t="s">
        <v>30</v>
      </c>
      <c r="M230" t="s">
        <v>85</v>
      </c>
    </row>
    <row r="231" spans="1:13" x14ac:dyDescent="0.35">
      <c r="A231" t="s">
        <v>288</v>
      </c>
      <c r="B231" t="s">
        <v>26</v>
      </c>
      <c r="C231" t="s">
        <v>15</v>
      </c>
      <c r="D231" t="s">
        <v>70</v>
      </c>
      <c r="E231">
        <v>14503</v>
      </c>
      <c r="F231">
        <v>13600</v>
      </c>
      <c r="G231" s="16" t="s">
        <v>17</v>
      </c>
      <c r="H231" s="3">
        <v>45452</v>
      </c>
      <c r="I231" s="3">
        <v>45459</v>
      </c>
      <c r="J231" t="s">
        <v>18</v>
      </c>
      <c r="K231" t="s">
        <v>35</v>
      </c>
      <c r="L231">
        <v>7</v>
      </c>
      <c r="M231" t="s">
        <v>36</v>
      </c>
    </row>
    <row r="232" spans="1:13" x14ac:dyDescent="0.35">
      <c r="A232" t="s">
        <v>289</v>
      </c>
      <c r="B232" t="s">
        <v>26</v>
      </c>
      <c r="C232" t="s">
        <v>27</v>
      </c>
      <c r="D232" t="s">
        <v>55</v>
      </c>
      <c r="E232">
        <v>49671</v>
      </c>
      <c r="F232">
        <v>48226</v>
      </c>
      <c r="G232" s="16" t="s">
        <v>17</v>
      </c>
      <c r="H232" s="3">
        <v>45362</v>
      </c>
      <c r="I232" s="3">
        <v>45371</v>
      </c>
      <c r="J232" t="s">
        <v>18</v>
      </c>
      <c r="K232" t="s">
        <v>19</v>
      </c>
      <c r="L232">
        <v>9</v>
      </c>
      <c r="M232" t="s">
        <v>67</v>
      </c>
    </row>
    <row r="233" spans="1:13" x14ac:dyDescent="0.35">
      <c r="A233" t="s">
        <v>290</v>
      </c>
      <c r="B233" t="s">
        <v>41</v>
      </c>
      <c r="C233" t="s">
        <v>64</v>
      </c>
      <c r="D233" t="s">
        <v>58</v>
      </c>
      <c r="E233">
        <v>22562</v>
      </c>
      <c r="F233">
        <v>21621</v>
      </c>
      <c r="G233" s="16" t="s">
        <v>17</v>
      </c>
      <c r="H233" s="3">
        <v>45564</v>
      </c>
      <c r="I233" s="3">
        <v>45570</v>
      </c>
      <c r="J233" t="s">
        <v>50</v>
      </c>
      <c r="K233" t="s">
        <v>56</v>
      </c>
      <c r="L233">
        <v>6</v>
      </c>
      <c r="M233" t="s">
        <v>24</v>
      </c>
    </row>
    <row r="234" spans="1:13" x14ac:dyDescent="0.35">
      <c r="A234" t="s">
        <v>291</v>
      </c>
      <c r="B234" t="s">
        <v>96</v>
      </c>
      <c r="C234" t="s">
        <v>64</v>
      </c>
      <c r="D234" t="s">
        <v>28</v>
      </c>
      <c r="E234">
        <v>18155</v>
      </c>
      <c r="F234">
        <v>17013</v>
      </c>
      <c r="G234" s="16" t="s">
        <v>17</v>
      </c>
      <c r="H234" s="3">
        <v>45444</v>
      </c>
      <c r="I234" s="3">
        <v>45448</v>
      </c>
      <c r="J234" t="s">
        <v>50</v>
      </c>
      <c r="K234" t="s">
        <v>30</v>
      </c>
      <c r="L234">
        <v>4</v>
      </c>
      <c r="M234" t="s">
        <v>36</v>
      </c>
    </row>
    <row r="235" spans="1:13" x14ac:dyDescent="0.35">
      <c r="A235" t="s">
        <v>292</v>
      </c>
      <c r="B235" t="s">
        <v>96</v>
      </c>
      <c r="C235" t="s">
        <v>46</v>
      </c>
      <c r="D235" t="s">
        <v>55</v>
      </c>
      <c r="E235">
        <v>22777</v>
      </c>
      <c r="F235">
        <v>22063</v>
      </c>
      <c r="G235" s="16" t="s">
        <v>17</v>
      </c>
      <c r="H235" s="3">
        <v>45578</v>
      </c>
      <c r="I235" s="3">
        <v>45583</v>
      </c>
      <c r="J235" t="s">
        <v>50</v>
      </c>
      <c r="K235" t="s">
        <v>47</v>
      </c>
      <c r="L235">
        <v>5</v>
      </c>
      <c r="M235" t="s">
        <v>76</v>
      </c>
    </row>
    <row r="236" spans="1:13" x14ac:dyDescent="0.35">
      <c r="A236" t="s">
        <v>293</v>
      </c>
      <c r="B236" t="s">
        <v>53</v>
      </c>
      <c r="C236" t="s">
        <v>27</v>
      </c>
      <c r="D236" t="s">
        <v>58</v>
      </c>
      <c r="E236">
        <v>24618</v>
      </c>
      <c r="F236">
        <v>24024</v>
      </c>
      <c r="G236" s="16" t="s">
        <v>17</v>
      </c>
      <c r="H236" s="3">
        <v>45313</v>
      </c>
      <c r="I236" s="3">
        <v>45318</v>
      </c>
      <c r="J236" t="s">
        <v>18</v>
      </c>
      <c r="K236" t="s">
        <v>43</v>
      </c>
      <c r="L236">
        <v>5</v>
      </c>
      <c r="M236" t="s">
        <v>39</v>
      </c>
    </row>
    <row r="237" spans="1:13" x14ac:dyDescent="0.35">
      <c r="A237" t="s">
        <v>294</v>
      </c>
      <c r="B237" t="s">
        <v>72</v>
      </c>
      <c r="C237" t="s">
        <v>38</v>
      </c>
      <c r="D237" t="s">
        <v>55</v>
      </c>
      <c r="E237">
        <v>16023</v>
      </c>
      <c r="F237">
        <v>14328</v>
      </c>
      <c r="G237" s="16" t="s">
        <v>17</v>
      </c>
      <c r="H237" s="3">
        <v>45567</v>
      </c>
      <c r="I237" s="3">
        <v>45572</v>
      </c>
      <c r="J237" t="s">
        <v>50</v>
      </c>
      <c r="K237" t="s">
        <v>47</v>
      </c>
      <c r="L237">
        <v>5</v>
      </c>
      <c r="M237" t="s">
        <v>76</v>
      </c>
    </row>
    <row r="238" spans="1:13" x14ac:dyDescent="0.35">
      <c r="A238" t="s">
        <v>295</v>
      </c>
      <c r="B238" t="s">
        <v>14</v>
      </c>
      <c r="C238" t="s">
        <v>46</v>
      </c>
      <c r="D238" t="s">
        <v>28</v>
      </c>
      <c r="E238">
        <v>5326</v>
      </c>
      <c r="F238">
        <v>0</v>
      </c>
      <c r="G238" s="16" t="s">
        <v>29</v>
      </c>
      <c r="H238" s="3">
        <v>45407</v>
      </c>
      <c r="I238" s="3"/>
      <c r="J238" t="s">
        <v>18</v>
      </c>
      <c r="K238" t="s">
        <v>47</v>
      </c>
      <c r="M238" t="s">
        <v>51</v>
      </c>
    </row>
    <row r="239" spans="1:13" x14ac:dyDescent="0.35">
      <c r="A239" t="s">
        <v>296</v>
      </c>
      <c r="B239" t="s">
        <v>14</v>
      </c>
      <c r="C239" t="s">
        <v>27</v>
      </c>
      <c r="D239" t="s">
        <v>34</v>
      </c>
      <c r="E239">
        <v>49012</v>
      </c>
      <c r="F239">
        <v>48807</v>
      </c>
      <c r="G239" s="16" t="s">
        <v>17</v>
      </c>
      <c r="H239" s="3">
        <v>45640</v>
      </c>
      <c r="I239" s="3">
        <v>45643</v>
      </c>
      <c r="J239" t="s">
        <v>18</v>
      </c>
      <c r="K239" t="s">
        <v>19</v>
      </c>
      <c r="L239">
        <v>3</v>
      </c>
      <c r="M239" t="s">
        <v>62</v>
      </c>
    </row>
    <row r="240" spans="1:13" x14ac:dyDescent="0.35">
      <c r="A240" t="s">
        <v>297</v>
      </c>
      <c r="B240" t="s">
        <v>33</v>
      </c>
      <c r="C240" t="s">
        <v>27</v>
      </c>
      <c r="D240" t="s">
        <v>55</v>
      </c>
      <c r="E240">
        <v>33290</v>
      </c>
      <c r="F240">
        <v>31742</v>
      </c>
      <c r="G240" s="16" t="s">
        <v>17</v>
      </c>
      <c r="H240" s="3">
        <v>45439</v>
      </c>
      <c r="I240" s="3">
        <v>45445</v>
      </c>
      <c r="J240" t="s">
        <v>50</v>
      </c>
      <c r="K240" t="s">
        <v>56</v>
      </c>
      <c r="L240">
        <v>6</v>
      </c>
      <c r="M240" t="s">
        <v>31</v>
      </c>
    </row>
    <row r="241" spans="1:13" x14ac:dyDescent="0.35">
      <c r="A241" t="s">
        <v>298</v>
      </c>
      <c r="B241" t="s">
        <v>60</v>
      </c>
      <c r="C241" t="s">
        <v>15</v>
      </c>
      <c r="D241" t="s">
        <v>28</v>
      </c>
      <c r="E241">
        <v>37071</v>
      </c>
      <c r="F241">
        <v>35201</v>
      </c>
      <c r="G241" s="16" t="s">
        <v>17</v>
      </c>
      <c r="H241" s="3">
        <v>45381</v>
      </c>
      <c r="I241" s="3">
        <v>45388</v>
      </c>
      <c r="J241" t="s">
        <v>18</v>
      </c>
      <c r="K241" t="s">
        <v>47</v>
      </c>
      <c r="L241">
        <v>7</v>
      </c>
      <c r="M241" t="s">
        <v>67</v>
      </c>
    </row>
    <row r="242" spans="1:13" x14ac:dyDescent="0.35">
      <c r="A242" t="s">
        <v>299</v>
      </c>
      <c r="B242" t="s">
        <v>22</v>
      </c>
      <c r="C242" t="s">
        <v>64</v>
      </c>
      <c r="D242" t="s">
        <v>61</v>
      </c>
      <c r="E242">
        <v>20970</v>
      </c>
      <c r="F242">
        <v>20952</v>
      </c>
      <c r="G242" s="16" t="s">
        <v>17</v>
      </c>
      <c r="H242" s="3">
        <v>45444</v>
      </c>
      <c r="I242" s="3">
        <v>45454</v>
      </c>
      <c r="J242" t="s">
        <v>18</v>
      </c>
      <c r="K242" t="s">
        <v>43</v>
      </c>
      <c r="L242">
        <v>10</v>
      </c>
      <c r="M242" t="s">
        <v>36</v>
      </c>
    </row>
    <row r="243" spans="1:13" x14ac:dyDescent="0.35">
      <c r="A243" t="s">
        <v>300</v>
      </c>
      <c r="B243" t="s">
        <v>96</v>
      </c>
      <c r="C243" t="s">
        <v>64</v>
      </c>
      <c r="D243" t="s">
        <v>55</v>
      </c>
      <c r="E243">
        <v>10794</v>
      </c>
      <c r="F243">
        <v>0</v>
      </c>
      <c r="G243" s="16" t="s">
        <v>29</v>
      </c>
      <c r="H243" s="3">
        <v>45531</v>
      </c>
      <c r="I243" s="3"/>
      <c r="J243" t="s">
        <v>50</v>
      </c>
      <c r="K243" t="s">
        <v>47</v>
      </c>
      <c r="M243" t="s">
        <v>44</v>
      </c>
    </row>
    <row r="244" spans="1:13" x14ac:dyDescent="0.35">
      <c r="A244" t="s">
        <v>301</v>
      </c>
      <c r="B244" t="s">
        <v>14</v>
      </c>
      <c r="C244" t="s">
        <v>38</v>
      </c>
      <c r="D244" t="s">
        <v>61</v>
      </c>
      <c r="E244">
        <v>49914</v>
      </c>
      <c r="F244">
        <v>48587</v>
      </c>
      <c r="G244" s="16" t="s">
        <v>17</v>
      </c>
      <c r="H244" s="3">
        <v>45423</v>
      </c>
      <c r="I244" s="3">
        <v>45426</v>
      </c>
      <c r="J244" t="s">
        <v>18</v>
      </c>
      <c r="K244" t="s">
        <v>56</v>
      </c>
      <c r="L244">
        <v>3</v>
      </c>
      <c r="M244" t="s">
        <v>31</v>
      </c>
    </row>
    <row r="245" spans="1:13" x14ac:dyDescent="0.35">
      <c r="A245" t="s">
        <v>302</v>
      </c>
      <c r="B245" t="s">
        <v>41</v>
      </c>
      <c r="C245" t="s">
        <v>38</v>
      </c>
      <c r="D245" t="s">
        <v>28</v>
      </c>
      <c r="E245">
        <v>13501</v>
      </c>
      <c r="F245">
        <v>0</v>
      </c>
      <c r="G245" s="16" t="s">
        <v>29</v>
      </c>
      <c r="H245" s="3">
        <v>45619</v>
      </c>
      <c r="I245" s="3"/>
      <c r="J245" t="s">
        <v>50</v>
      </c>
      <c r="K245" t="s">
        <v>30</v>
      </c>
      <c r="M245" t="s">
        <v>48</v>
      </c>
    </row>
    <row r="246" spans="1:13" x14ac:dyDescent="0.35">
      <c r="A246" t="s">
        <v>303</v>
      </c>
      <c r="B246" t="s">
        <v>22</v>
      </c>
      <c r="C246" t="s">
        <v>38</v>
      </c>
      <c r="D246" t="s">
        <v>70</v>
      </c>
      <c r="E246">
        <v>28269</v>
      </c>
      <c r="F246">
        <v>27891</v>
      </c>
      <c r="G246" s="16" t="s">
        <v>17</v>
      </c>
      <c r="H246" s="3">
        <v>45363</v>
      </c>
      <c r="I246" s="3">
        <v>45371</v>
      </c>
      <c r="J246" t="s">
        <v>50</v>
      </c>
      <c r="K246" t="s">
        <v>47</v>
      </c>
      <c r="L246">
        <v>8</v>
      </c>
      <c r="M246" t="s">
        <v>67</v>
      </c>
    </row>
    <row r="247" spans="1:13" x14ac:dyDescent="0.35">
      <c r="A247" t="s">
        <v>304</v>
      </c>
      <c r="B247" t="s">
        <v>60</v>
      </c>
      <c r="C247" t="s">
        <v>38</v>
      </c>
      <c r="D247" t="s">
        <v>58</v>
      </c>
      <c r="E247">
        <v>17435</v>
      </c>
      <c r="F247">
        <v>15892</v>
      </c>
      <c r="G247" s="16" t="s">
        <v>17</v>
      </c>
      <c r="H247" s="3">
        <v>45428</v>
      </c>
      <c r="I247" s="3">
        <v>45434</v>
      </c>
      <c r="J247" t="s">
        <v>50</v>
      </c>
      <c r="K247" t="s">
        <v>19</v>
      </c>
      <c r="L247">
        <v>6</v>
      </c>
      <c r="M247" t="s">
        <v>31</v>
      </c>
    </row>
    <row r="248" spans="1:13" x14ac:dyDescent="0.35">
      <c r="A248" t="s">
        <v>305</v>
      </c>
      <c r="B248" t="s">
        <v>53</v>
      </c>
      <c r="C248" t="s">
        <v>15</v>
      </c>
      <c r="D248" t="s">
        <v>16</v>
      </c>
      <c r="E248">
        <v>44839</v>
      </c>
      <c r="F248">
        <v>43421</v>
      </c>
      <c r="G248" s="16" t="s">
        <v>17</v>
      </c>
      <c r="H248" s="3">
        <v>45412</v>
      </c>
      <c r="I248" s="3">
        <v>45413</v>
      </c>
      <c r="J248" t="s">
        <v>18</v>
      </c>
      <c r="K248" t="s">
        <v>35</v>
      </c>
      <c r="L248">
        <v>1</v>
      </c>
      <c r="M248" t="s">
        <v>51</v>
      </c>
    </row>
    <row r="249" spans="1:13" x14ac:dyDescent="0.35">
      <c r="A249" t="s">
        <v>306</v>
      </c>
      <c r="B249" t="s">
        <v>96</v>
      </c>
      <c r="C249" t="s">
        <v>73</v>
      </c>
      <c r="D249" t="s">
        <v>58</v>
      </c>
      <c r="E249">
        <v>46962</v>
      </c>
      <c r="F249">
        <v>0</v>
      </c>
      <c r="G249" s="16" t="s">
        <v>29</v>
      </c>
      <c r="H249" s="3">
        <v>45652</v>
      </c>
      <c r="I249" s="3"/>
      <c r="J249" t="s">
        <v>50</v>
      </c>
      <c r="K249" t="s">
        <v>56</v>
      </c>
      <c r="M249" t="s">
        <v>62</v>
      </c>
    </row>
    <row r="250" spans="1:13" x14ac:dyDescent="0.35">
      <c r="A250" t="s">
        <v>307</v>
      </c>
      <c r="B250" t="s">
        <v>14</v>
      </c>
      <c r="C250" t="s">
        <v>38</v>
      </c>
      <c r="D250" t="s">
        <v>34</v>
      </c>
      <c r="E250">
        <v>42280</v>
      </c>
      <c r="F250">
        <v>41832</v>
      </c>
      <c r="G250" s="16" t="s">
        <v>17</v>
      </c>
      <c r="H250" s="3">
        <v>45360</v>
      </c>
      <c r="I250" s="3">
        <v>45368</v>
      </c>
      <c r="J250" t="s">
        <v>18</v>
      </c>
      <c r="K250" t="s">
        <v>35</v>
      </c>
      <c r="L250">
        <v>8</v>
      </c>
      <c r="M250" t="s">
        <v>67</v>
      </c>
    </row>
    <row r="251" spans="1:13" x14ac:dyDescent="0.35">
      <c r="A251" t="s">
        <v>308</v>
      </c>
      <c r="B251" t="s">
        <v>53</v>
      </c>
      <c r="C251" t="s">
        <v>38</v>
      </c>
      <c r="D251" t="s">
        <v>58</v>
      </c>
      <c r="E251">
        <v>48002</v>
      </c>
      <c r="F251">
        <v>0</v>
      </c>
      <c r="G251" s="16" t="s">
        <v>29</v>
      </c>
      <c r="H251" s="3">
        <v>45533</v>
      </c>
      <c r="I251" s="3"/>
      <c r="J251" t="s">
        <v>18</v>
      </c>
      <c r="K251" t="s">
        <v>30</v>
      </c>
      <c r="M251" t="s">
        <v>44</v>
      </c>
    </row>
    <row r="252" spans="1:13" x14ac:dyDescent="0.35">
      <c r="A252" t="s">
        <v>309</v>
      </c>
      <c r="B252" t="s">
        <v>26</v>
      </c>
      <c r="C252" t="s">
        <v>15</v>
      </c>
      <c r="D252" t="s">
        <v>55</v>
      </c>
      <c r="E252">
        <v>36614</v>
      </c>
      <c r="F252">
        <v>36455</v>
      </c>
      <c r="G252" s="16" t="s">
        <v>17</v>
      </c>
      <c r="H252" s="3">
        <v>45580</v>
      </c>
      <c r="I252" s="3">
        <v>45582</v>
      </c>
      <c r="J252" t="s">
        <v>18</v>
      </c>
      <c r="K252" t="s">
        <v>30</v>
      </c>
      <c r="L252">
        <v>2</v>
      </c>
      <c r="M252" t="s">
        <v>76</v>
      </c>
    </row>
    <row r="253" spans="1:13" x14ac:dyDescent="0.35">
      <c r="A253" t="s">
        <v>310</v>
      </c>
      <c r="B253" t="s">
        <v>79</v>
      </c>
      <c r="C253" t="s">
        <v>46</v>
      </c>
      <c r="D253" t="s">
        <v>61</v>
      </c>
      <c r="E253">
        <v>12783</v>
      </c>
      <c r="F253">
        <v>11034</v>
      </c>
      <c r="G253" s="16" t="s">
        <v>17</v>
      </c>
      <c r="H253" s="3">
        <v>45558</v>
      </c>
      <c r="I253" s="3">
        <v>45566</v>
      </c>
      <c r="J253" t="s">
        <v>18</v>
      </c>
      <c r="K253" t="s">
        <v>56</v>
      </c>
      <c r="L253">
        <v>8</v>
      </c>
      <c r="M253" t="s">
        <v>24</v>
      </c>
    </row>
    <row r="254" spans="1:13" x14ac:dyDescent="0.35">
      <c r="A254" t="s">
        <v>311</v>
      </c>
      <c r="B254" t="s">
        <v>26</v>
      </c>
      <c r="C254" t="s">
        <v>64</v>
      </c>
      <c r="D254" t="s">
        <v>70</v>
      </c>
      <c r="E254">
        <v>35447</v>
      </c>
      <c r="F254">
        <v>33791</v>
      </c>
      <c r="G254" s="16" t="s">
        <v>17</v>
      </c>
      <c r="H254" s="3">
        <v>45320</v>
      </c>
      <c r="I254" s="3">
        <v>45328</v>
      </c>
      <c r="J254" t="s">
        <v>18</v>
      </c>
      <c r="K254" t="s">
        <v>19</v>
      </c>
      <c r="L254">
        <v>8</v>
      </c>
      <c r="M254" t="s">
        <v>39</v>
      </c>
    </row>
    <row r="255" spans="1:13" x14ac:dyDescent="0.35">
      <c r="A255" t="s">
        <v>312</v>
      </c>
      <c r="B255" t="s">
        <v>22</v>
      </c>
      <c r="C255" t="s">
        <v>64</v>
      </c>
      <c r="D255" t="s">
        <v>23</v>
      </c>
      <c r="E255">
        <v>38621</v>
      </c>
      <c r="F255">
        <v>37244</v>
      </c>
      <c r="G255" s="16" t="s">
        <v>17</v>
      </c>
      <c r="H255" s="3">
        <v>45449</v>
      </c>
      <c r="I255" s="3">
        <v>45450</v>
      </c>
      <c r="J255" t="s">
        <v>50</v>
      </c>
      <c r="K255" t="s">
        <v>43</v>
      </c>
      <c r="L255">
        <v>1</v>
      </c>
      <c r="M255" t="s">
        <v>36</v>
      </c>
    </row>
    <row r="256" spans="1:13" x14ac:dyDescent="0.35">
      <c r="A256" t="s">
        <v>313</v>
      </c>
      <c r="B256" t="s">
        <v>60</v>
      </c>
      <c r="C256" t="s">
        <v>46</v>
      </c>
      <c r="D256" t="s">
        <v>70</v>
      </c>
      <c r="E256">
        <v>4968</v>
      </c>
      <c r="F256">
        <v>4263</v>
      </c>
      <c r="G256" s="16" t="s">
        <v>17</v>
      </c>
      <c r="H256" s="3">
        <v>45650</v>
      </c>
      <c r="I256" s="3">
        <v>45652</v>
      </c>
      <c r="J256" t="s">
        <v>18</v>
      </c>
      <c r="K256" t="s">
        <v>47</v>
      </c>
      <c r="L256">
        <v>2</v>
      </c>
      <c r="M256" t="s">
        <v>62</v>
      </c>
    </row>
    <row r="257" spans="1:13" x14ac:dyDescent="0.35">
      <c r="A257" t="s">
        <v>314</v>
      </c>
      <c r="B257" t="s">
        <v>72</v>
      </c>
      <c r="C257" t="s">
        <v>15</v>
      </c>
      <c r="D257" t="s">
        <v>16</v>
      </c>
      <c r="E257">
        <v>28795</v>
      </c>
      <c r="F257">
        <v>27221</v>
      </c>
      <c r="G257" s="16" t="s">
        <v>17</v>
      </c>
      <c r="H257" s="3">
        <v>45361</v>
      </c>
      <c r="I257" s="3">
        <v>45368</v>
      </c>
      <c r="J257" t="s">
        <v>50</v>
      </c>
      <c r="K257" t="s">
        <v>35</v>
      </c>
      <c r="L257">
        <v>7</v>
      </c>
      <c r="M257" t="s">
        <v>67</v>
      </c>
    </row>
    <row r="258" spans="1:13" x14ac:dyDescent="0.35">
      <c r="A258" t="s">
        <v>315</v>
      </c>
      <c r="B258" t="s">
        <v>72</v>
      </c>
      <c r="C258" t="s">
        <v>27</v>
      </c>
      <c r="D258" t="s">
        <v>58</v>
      </c>
      <c r="E258">
        <v>7259</v>
      </c>
      <c r="F258">
        <v>0</v>
      </c>
      <c r="G258" s="16" t="s">
        <v>29</v>
      </c>
      <c r="H258" s="3">
        <v>45360</v>
      </c>
      <c r="I258" s="3"/>
      <c r="J258" t="s">
        <v>50</v>
      </c>
      <c r="K258" t="s">
        <v>47</v>
      </c>
      <c r="M258" t="s">
        <v>67</v>
      </c>
    </row>
    <row r="259" spans="1:13" x14ac:dyDescent="0.35">
      <c r="A259" t="s">
        <v>316</v>
      </c>
      <c r="B259" t="s">
        <v>33</v>
      </c>
      <c r="C259" t="s">
        <v>27</v>
      </c>
      <c r="D259" t="s">
        <v>61</v>
      </c>
      <c r="E259">
        <v>49700</v>
      </c>
      <c r="F259">
        <v>47991</v>
      </c>
      <c r="G259" s="16" t="s">
        <v>17</v>
      </c>
      <c r="H259" s="3">
        <v>45293</v>
      </c>
      <c r="I259" s="3">
        <v>45294</v>
      </c>
      <c r="J259" t="s">
        <v>50</v>
      </c>
      <c r="K259" t="s">
        <v>35</v>
      </c>
      <c r="L259">
        <v>1</v>
      </c>
      <c r="M259" t="s">
        <v>39</v>
      </c>
    </row>
    <row r="260" spans="1:13" x14ac:dyDescent="0.35">
      <c r="A260" t="s">
        <v>317</v>
      </c>
      <c r="B260" t="s">
        <v>79</v>
      </c>
      <c r="C260" t="s">
        <v>27</v>
      </c>
      <c r="D260" t="s">
        <v>58</v>
      </c>
      <c r="E260">
        <v>17051</v>
      </c>
      <c r="F260">
        <v>16108</v>
      </c>
      <c r="G260" s="16" t="s">
        <v>17</v>
      </c>
      <c r="H260" s="3">
        <v>45469</v>
      </c>
      <c r="I260" s="3">
        <v>45472</v>
      </c>
      <c r="J260" t="s">
        <v>50</v>
      </c>
      <c r="K260" t="s">
        <v>47</v>
      </c>
      <c r="L260">
        <v>3</v>
      </c>
      <c r="M260" t="s">
        <v>36</v>
      </c>
    </row>
    <row r="261" spans="1:13" x14ac:dyDescent="0.35">
      <c r="A261" t="s">
        <v>318</v>
      </c>
      <c r="B261" t="s">
        <v>14</v>
      </c>
      <c r="C261" t="s">
        <v>15</v>
      </c>
      <c r="D261" t="s">
        <v>58</v>
      </c>
      <c r="E261">
        <v>42299</v>
      </c>
      <c r="F261">
        <v>41807</v>
      </c>
      <c r="G261" s="16" t="s">
        <v>17</v>
      </c>
      <c r="H261" s="3">
        <v>45397</v>
      </c>
      <c r="I261" s="3">
        <v>45399</v>
      </c>
      <c r="J261" t="s">
        <v>18</v>
      </c>
      <c r="K261" t="s">
        <v>19</v>
      </c>
      <c r="L261">
        <v>2</v>
      </c>
      <c r="M261" t="s">
        <v>51</v>
      </c>
    </row>
    <row r="262" spans="1:13" x14ac:dyDescent="0.35">
      <c r="A262" t="s">
        <v>319</v>
      </c>
      <c r="B262" t="s">
        <v>60</v>
      </c>
      <c r="C262" t="s">
        <v>64</v>
      </c>
      <c r="D262" t="s">
        <v>23</v>
      </c>
      <c r="E262">
        <v>18038</v>
      </c>
      <c r="F262">
        <v>17215</v>
      </c>
      <c r="G262" s="16" t="s">
        <v>17</v>
      </c>
      <c r="H262" s="3">
        <v>45516</v>
      </c>
      <c r="I262" s="3">
        <v>45520</v>
      </c>
      <c r="J262" t="s">
        <v>18</v>
      </c>
      <c r="K262" t="s">
        <v>30</v>
      </c>
      <c r="L262">
        <v>4</v>
      </c>
      <c r="M262" t="s">
        <v>44</v>
      </c>
    </row>
    <row r="263" spans="1:13" x14ac:dyDescent="0.35">
      <c r="A263" t="s">
        <v>320</v>
      </c>
      <c r="B263" t="s">
        <v>60</v>
      </c>
      <c r="C263" t="s">
        <v>73</v>
      </c>
      <c r="D263" t="s">
        <v>16</v>
      </c>
      <c r="E263">
        <v>17346</v>
      </c>
      <c r="F263">
        <v>0</v>
      </c>
      <c r="G263" s="16" t="s">
        <v>29</v>
      </c>
      <c r="H263" s="3">
        <v>45455</v>
      </c>
      <c r="I263" s="3"/>
      <c r="J263" t="s">
        <v>50</v>
      </c>
      <c r="K263" t="s">
        <v>47</v>
      </c>
      <c r="M263" t="s">
        <v>36</v>
      </c>
    </row>
    <row r="264" spans="1:13" x14ac:dyDescent="0.35">
      <c r="A264" t="s">
        <v>321</v>
      </c>
      <c r="B264" t="s">
        <v>96</v>
      </c>
      <c r="C264" t="s">
        <v>73</v>
      </c>
      <c r="D264" t="s">
        <v>28</v>
      </c>
      <c r="E264">
        <v>29103</v>
      </c>
      <c r="F264">
        <v>28540</v>
      </c>
      <c r="G264" s="16" t="s">
        <v>17</v>
      </c>
      <c r="H264" s="3">
        <v>45323</v>
      </c>
      <c r="I264" s="3">
        <v>45332</v>
      </c>
      <c r="J264" t="s">
        <v>18</v>
      </c>
      <c r="K264" t="s">
        <v>56</v>
      </c>
      <c r="L264">
        <v>9</v>
      </c>
      <c r="M264" t="s">
        <v>20</v>
      </c>
    </row>
    <row r="265" spans="1:13" x14ac:dyDescent="0.35">
      <c r="A265" t="s">
        <v>322</v>
      </c>
      <c r="B265" t="s">
        <v>22</v>
      </c>
      <c r="C265" t="s">
        <v>64</v>
      </c>
      <c r="D265" t="s">
        <v>23</v>
      </c>
      <c r="E265">
        <v>24571</v>
      </c>
      <c r="F265">
        <v>22962</v>
      </c>
      <c r="G265" s="16" t="s">
        <v>17</v>
      </c>
      <c r="H265" s="3">
        <v>45560</v>
      </c>
      <c r="I265" s="3">
        <v>45566</v>
      </c>
      <c r="J265" t="s">
        <v>50</v>
      </c>
      <c r="K265" t="s">
        <v>35</v>
      </c>
      <c r="L265">
        <v>6</v>
      </c>
      <c r="M265" t="s">
        <v>24</v>
      </c>
    </row>
    <row r="266" spans="1:13" x14ac:dyDescent="0.35">
      <c r="A266" t="s">
        <v>323</v>
      </c>
      <c r="B266" t="s">
        <v>33</v>
      </c>
      <c r="C266" t="s">
        <v>38</v>
      </c>
      <c r="D266" t="s">
        <v>58</v>
      </c>
      <c r="E266">
        <v>14050</v>
      </c>
      <c r="F266">
        <v>0</v>
      </c>
      <c r="G266" s="16" t="s">
        <v>29</v>
      </c>
      <c r="H266" s="3">
        <v>45534</v>
      </c>
      <c r="I266" s="3"/>
      <c r="J266" t="s">
        <v>18</v>
      </c>
      <c r="K266" t="s">
        <v>30</v>
      </c>
      <c r="M266" t="s">
        <v>44</v>
      </c>
    </row>
    <row r="267" spans="1:13" x14ac:dyDescent="0.35">
      <c r="A267" t="s">
        <v>324</v>
      </c>
      <c r="B267" t="s">
        <v>26</v>
      </c>
      <c r="C267" t="s">
        <v>38</v>
      </c>
      <c r="D267" t="s">
        <v>61</v>
      </c>
      <c r="E267">
        <v>32344</v>
      </c>
      <c r="F267">
        <v>31193</v>
      </c>
      <c r="G267" s="16" t="s">
        <v>17</v>
      </c>
      <c r="H267" s="3">
        <v>45503</v>
      </c>
      <c r="I267" s="3">
        <v>45510</v>
      </c>
      <c r="J267" t="s">
        <v>18</v>
      </c>
      <c r="K267" t="s">
        <v>35</v>
      </c>
      <c r="L267">
        <v>7</v>
      </c>
      <c r="M267" t="s">
        <v>85</v>
      </c>
    </row>
    <row r="268" spans="1:13" x14ac:dyDescent="0.35">
      <c r="A268" t="s">
        <v>325</v>
      </c>
      <c r="B268" t="s">
        <v>26</v>
      </c>
      <c r="C268" t="s">
        <v>38</v>
      </c>
      <c r="D268" t="s">
        <v>28</v>
      </c>
      <c r="E268">
        <v>23644</v>
      </c>
      <c r="F268">
        <v>21756</v>
      </c>
      <c r="G268" s="16" t="s">
        <v>17</v>
      </c>
      <c r="H268" s="3">
        <v>45522</v>
      </c>
      <c r="I268" s="3">
        <v>45528</v>
      </c>
      <c r="J268" t="s">
        <v>18</v>
      </c>
      <c r="K268" t="s">
        <v>19</v>
      </c>
      <c r="L268">
        <v>6</v>
      </c>
      <c r="M268" t="s">
        <v>44</v>
      </c>
    </row>
    <row r="269" spans="1:13" x14ac:dyDescent="0.35">
      <c r="A269" t="s">
        <v>326</v>
      </c>
      <c r="B269" t="s">
        <v>26</v>
      </c>
      <c r="C269" t="s">
        <v>15</v>
      </c>
      <c r="D269" t="s">
        <v>16</v>
      </c>
      <c r="E269">
        <v>26718</v>
      </c>
      <c r="F269">
        <v>0</v>
      </c>
      <c r="G269" s="16" t="s">
        <v>29</v>
      </c>
      <c r="H269" s="3">
        <v>45600</v>
      </c>
      <c r="I269" s="3"/>
      <c r="J269" t="s">
        <v>18</v>
      </c>
      <c r="K269" t="s">
        <v>30</v>
      </c>
      <c r="M269" t="s">
        <v>48</v>
      </c>
    </row>
    <row r="270" spans="1:13" x14ac:dyDescent="0.35">
      <c r="A270" t="s">
        <v>327</v>
      </c>
      <c r="B270" t="s">
        <v>14</v>
      </c>
      <c r="C270" t="s">
        <v>46</v>
      </c>
      <c r="D270" t="s">
        <v>28</v>
      </c>
      <c r="E270">
        <v>33417</v>
      </c>
      <c r="F270">
        <v>31637</v>
      </c>
      <c r="G270" s="16" t="s">
        <v>17</v>
      </c>
      <c r="H270" s="3">
        <v>45462</v>
      </c>
      <c r="I270" s="3">
        <v>45467</v>
      </c>
      <c r="J270" t="s">
        <v>18</v>
      </c>
      <c r="K270" t="s">
        <v>47</v>
      </c>
      <c r="L270">
        <v>5</v>
      </c>
      <c r="M270" t="s">
        <v>36</v>
      </c>
    </row>
    <row r="271" spans="1:13" x14ac:dyDescent="0.35">
      <c r="A271" t="s">
        <v>328</v>
      </c>
      <c r="B271" t="s">
        <v>26</v>
      </c>
      <c r="C271" t="s">
        <v>15</v>
      </c>
      <c r="D271" t="s">
        <v>55</v>
      </c>
      <c r="E271">
        <v>17898</v>
      </c>
      <c r="F271">
        <v>0</v>
      </c>
      <c r="G271" s="16" t="s">
        <v>29</v>
      </c>
      <c r="H271" s="3">
        <v>45652</v>
      </c>
      <c r="I271" s="3"/>
      <c r="J271" t="s">
        <v>18</v>
      </c>
      <c r="K271" t="s">
        <v>35</v>
      </c>
      <c r="M271" t="s">
        <v>62</v>
      </c>
    </row>
    <row r="272" spans="1:13" x14ac:dyDescent="0.35">
      <c r="A272" t="s">
        <v>329</v>
      </c>
      <c r="B272" t="s">
        <v>26</v>
      </c>
      <c r="C272" t="s">
        <v>38</v>
      </c>
      <c r="D272" t="s">
        <v>16</v>
      </c>
      <c r="E272">
        <v>26947</v>
      </c>
      <c r="F272">
        <v>25855</v>
      </c>
      <c r="G272" s="16" t="s">
        <v>17</v>
      </c>
      <c r="H272" s="3">
        <v>45624</v>
      </c>
      <c r="I272" s="3">
        <v>45630</v>
      </c>
      <c r="J272" t="s">
        <v>50</v>
      </c>
      <c r="K272" t="s">
        <v>43</v>
      </c>
      <c r="L272">
        <v>6</v>
      </c>
      <c r="M272" t="s">
        <v>48</v>
      </c>
    </row>
    <row r="273" spans="1:13" x14ac:dyDescent="0.35">
      <c r="A273" t="s">
        <v>330</v>
      </c>
      <c r="B273" t="s">
        <v>41</v>
      </c>
      <c r="C273" t="s">
        <v>64</v>
      </c>
      <c r="D273" t="s">
        <v>55</v>
      </c>
      <c r="E273">
        <v>8462</v>
      </c>
      <c r="F273">
        <v>6903</v>
      </c>
      <c r="G273" s="16" t="s">
        <v>17</v>
      </c>
      <c r="H273" s="3">
        <v>45455</v>
      </c>
      <c r="I273" s="3">
        <v>45459</v>
      </c>
      <c r="J273" t="s">
        <v>50</v>
      </c>
      <c r="K273" t="s">
        <v>43</v>
      </c>
      <c r="L273">
        <v>4</v>
      </c>
      <c r="M273" t="s">
        <v>36</v>
      </c>
    </row>
    <row r="274" spans="1:13" x14ac:dyDescent="0.35">
      <c r="A274" t="s">
        <v>331</v>
      </c>
      <c r="B274" t="s">
        <v>22</v>
      </c>
      <c r="C274" t="s">
        <v>15</v>
      </c>
      <c r="D274" t="s">
        <v>28</v>
      </c>
      <c r="E274">
        <v>11563</v>
      </c>
      <c r="F274">
        <v>11029</v>
      </c>
      <c r="G274" s="16" t="s">
        <v>17</v>
      </c>
      <c r="H274" s="3">
        <v>45575</v>
      </c>
      <c r="I274" s="3">
        <v>45585</v>
      </c>
      <c r="J274" t="s">
        <v>50</v>
      </c>
      <c r="K274" t="s">
        <v>43</v>
      </c>
      <c r="L274">
        <v>10</v>
      </c>
      <c r="M274" t="s">
        <v>76</v>
      </c>
    </row>
    <row r="275" spans="1:13" x14ac:dyDescent="0.35">
      <c r="A275" t="s">
        <v>332</v>
      </c>
      <c r="B275" t="s">
        <v>33</v>
      </c>
      <c r="C275" t="s">
        <v>46</v>
      </c>
      <c r="D275" t="s">
        <v>34</v>
      </c>
      <c r="E275">
        <v>17074</v>
      </c>
      <c r="F275">
        <v>15908</v>
      </c>
      <c r="G275" s="16" t="s">
        <v>17</v>
      </c>
      <c r="H275" s="3">
        <v>45417</v>
      </c>
      <c r="I275" s="3">
        <v>45425</v>
      </c>
      <c r="J275" t="s">
        <v>50</v>
      </c>
      <c r="K275" t="s">
        <v>43</v>
      </c>
      <c r="L275">
        <v>8</v>
      </c>
      <c r="M275" t="s">
        <v>31</v>
      </c>
    </row>
    <row r="276" spans="1:13" x14ac:dyDescent="0.35">
      <c r="A276" t="s">
        <v>333</v>
      </c>
      <c r="B276" t="s">
        <v>72</v>
      </c>
      <c r="C276" t="s">
        <v>64</v>
      </c>
      <c r="D276" t="s">
        <v>55</v>
      </c>
      <c r="E276">
        <v>13025</v>
      </c>
      <c r="F276">
        <v>12679</v>
      </c>
      <c r="G276" s="16" t="s">
        <v>17</v>
      </c>
      <c r="H276" s="3">
        <v>45363</v>
      </c>
      <c r="I276" s="3">
        <v>45372</v>
      </c>
      <c r="J276" t="s">
        <v>50</v>
      </c>
      <c r="K276" t="s">
        <v>47</v>
      </c>
      <c r="L276">
        <v>9</v>
      </c>
      <c r="M276" t="s">
        <v>67</v>
      </c>
    </row>
    <row r="277" spans="1:13" x14ac:dyDescent="0.35">
      <c r="A277" t="s">
        <v>334</v>
      </c>
      <c r="B277" t="s">
        <v>79</v>
      </c>
      <c r="C277" t="s">
        <v>15</v>
      </c>
      <c r="D277" t="s">
        <v>23</v>
      </c>
      <c r="E277">
        <v>6871</v>
      </c>
      <c r="F277">
        <v>5306</v>
      </c>
      <c r="G277" s="16" t="s">
        <v>17</v>
      </c>
      <c r="H277" s="3">
        <v>45295</v>
      </c>
      <c r="I277" s="3">
        <v>45302</v>
      </c>
      <c r="J277" t="s">
        <v>18</v>
      </c>
      <c r="K277" t="s">
        <v>30</v>
      </c>
      <c r="L277">
        <v>7</v>
      </c>
      <c r="M277" t="s">
        <v>39</v>
      </c>
    </row>
    <row r="278" spans="1:13" x14ac:dyDescent="0.35">
      <c r="A278" t="s">
        <v>335</v>
      </c>
      <c r="B278" t="s">
        <v>26</v>
      </c>
      <c r="C278" t="s">
        <v>15</v>
      </c>
      <c r="D278" t="s">
        <v>61</v>
      </c>
      <c r="E278">
        <v>2599</v>
      </c>
      <c r="F278">
        <v>1564</v>
      </c>
      <c r="G278" s="16" t="s">
        <v>17</v>
      </c>
      <c r="H278" s="3">
        <v>45525</v>
      </c>
      <c r="I278" s="3">
        <v>45531</v>
      </c>
      <c r="J278" t="s">
        <v>18</v>
      </c>
      <c r="K278" t="s">
        <v>19</v>
      </c>
      <c r="L278">
        <v>6</v>
      </c>
      <c r="M278" t="s">
        <v>44</v>
      </c>
    </row>
    <row r="279" spans="1:13" x14ac:dyDescent="0.35">
      <c r="A279" t="s">
        <v>336</v>
      </c>
      <c r="B279" t="s">
        <v>53</v>
      </c>
      <c r="C279" t="s">
        <v>64</v>
      </c>
      <c r="D279" t="s">
        <v>55</v>
      </c>
      <c r="E279">
        <v>3030</v>
      </c>
      <c r="F279">
        <v>1941</v>
      </c>
      <c r="G279" s="16" t="s">
        <v>17</v>
      </c>
      <c r="H279" s="3">
        <v>45574</v>
      </c>
      <c r="I279" s="3">
        <v>45581</v>
      </c>
      <c r="J279" t="s">
        <v>18</v>
      </c>
      <c r="K279" t="s">
        <v>47</v>
      </c>
      <c r="L279">
        <v>7</v>
      </c>
      <c r="M279" t="s">
        <v>76</v>
      </c>
    </row>
    <row r="280" spans="1:13" x14ac:dyDescent="0.35">
      <c r="A280" t="s">
        <v>337</v>
      </c>
      <c r="B280" t="s">
        <v>79</v>
      </c>
      <c r="C280" t="s">
        <v>38</v>
      </c>
      <c r="D280" t="s">
        <v>16</v>
      </c>
      <c r="E280">
        <v>3123</v>
      </c>
      <c r="F280">
        <v>0</v>
      </c>
      <c r="G280" s="16" t="s">
        <v>29</v>
      </c>
      <c r="H280" s="3">
        <v>45649</v>
      </c>
      <c r="I280" s="3"/>
      <c r="J280" t="s">
        <v>50</v>
      </c>
      <c r="K280" t="s">
        <v>30</v>
      </c>
      <c r="M280" t="s">
        <v>62</v>
      </c>
    </row>
    <row r="281" spans="1:13" x14ac:dyDescent="0.35">
      <c r="A281" t="s">
        <v>338</v>
      </c>
      <c r="B281" t="s">
        <v>33</v>
      </c>
      <c r="C281" t="s">
        <v>15</v>
      </c>
      <c r="D281" t="s">
        <v>70</v>
      </c>
      <c r="E281">
        <v>36366</v>
      </c>
      <c r="F281">
        <v>35873</v>
      </c>
      <c r="G281" s="16" t="s">
        <v>17</v>
      </c>
      <c r="H281" s="3">
        <v>45390</v>
      </c>
      <c r="I281" s="3">
        <v>45400</v>
      </c>
      <c r="J281" t="s">
        <v>50</v>
      </c>
      <c r="K281" t="s">
        <v>30</v>
      </c>
      <c r="L281">
        <v>10</v>
      </c>
      <c r="M281" t="s">
        <v>51</v>
      </c>
    </row>
    <row r="282" spans="1:13" x14ac:dyDescent="0.35">
      <c r="A282" t="s">
        <v>339</v>
      </c>
      <c r="B282" t="s">
        <v>41</v>
      </c>
      <c r="C282" t="s">
        <v>38</v>
      </c>
      <c r="D282" t="s">
        <v>58</v>
      </c>
      <c r="E282">
        <v>7178</v>
      </c>
      <c r="F282">
        <v>5214</v>
      </c>
      <c r="G282" s="16" t="s">
        <v>17</v>
      </c>
      <c r="H282" s="3">
        <v>45499</v>
      </c>
      <c r="I282" s="3">
        <v>45507</v>
      </c>
      <c r="J282" t="s">
        <v>18</v>
      </c>
      <c r="K282" t="s">
        <v>56</v>
      </c>
      <c r="L282">
        <v>8</v>
      </c>
      <c r="M282" t="s">
        <v>85</v>
      </c>
    </row>
    <row r="283" spans="1:13" x14ac:dyDescent="0.35">
      <c r="A283" t="s">
        <v>340</v>
      </c>
      <c r="B283" t="s">
        <v>26</v>
      </c>
      <c r="C283" t="s">
        <v>38</v>
      </c>
      <c r="D283" t="s">
        <v>70</v>
      </c>
      <c r="E283">
        <v>44843</v>
      </c>
      <c r="F283">
        <v>44652</v>
      </c>
      <c r="G283" s="16" t="s">
        <v>17</v>
      </c>
      <c r="H283" s="3">
        <v>45499</v>
      </c>
      <c r="I283" s="3">
        <v>45506</v>
      </c>
      <c r="J283" t="s">
        <v>50</v>
      </c>
      <c r="K283" t="s">
        <v>19</v>
      </c>
      <c r="L283">
        <v>7</v>
      </c>
      <c r="M283" t="s">
        <v>85</v>
      </c>
    </row>
    <row r="284" spans="1:13" x14ac:dyDescent="0.35">
      <c r="A284" t="s">
        <v>341</v>
      </c>
      <c r="B284" t="s">
        <v>72</v>
      </c>
      <c r="C284" t="s">
        <v>15</v>
      </c>
      <c r="D284" t="s">
        <v>23</v>
      </c>
      <c r="E284">
        <v>48061</v>
      </c>
      <c r="F284">
        <v>47892</v>
      </c>
      <c r="G284" s="16" t="s">
        <v>17</v>
      </c>
      <c r="H284" s="3">
        <v>45547</v>
      </c>
      <c r="I284" s="3">
        <v>45554</v>
      </c>
      <c r="J284" t="s">
        <v>50</v>
      </c>
      <c r="K284" t="s">
        <v>19</v>
      </c>
      <c r="L284">
        <v>7</v>
      </c>
      <c r="M284" t="s">
        <v>24</v>
      </c>
    </row>
    <row r="285" spans="1:13" x14ac:dyDescent="0.35">
      <c r="A285" t="s">
        <v>342</v>
      </c>
      <c r="B285" t="s">
        <v>14</v>
      </c>
      <c r="C285" t="s">
        <v>15</v>
      </c>
      <c r="D285" t="s">
        <v>28</v>
      </c>
      <c r="E285">
        <v>15855</v>
      </c>
      <c r="F285">
        <v>0</v>
      </c>
      <c r="G285" s="16" t="s">
        <v>29</v>
      </c>
      <c r="H285" s="3">
        <v>45535</v>
      </c>
      <c r="I285" s="3"/>
      <c r="J285" t="s">
        <v>50</v>
      </c>
      <c r="K285" t="s">
        <v>47</v>
      </c>
      <c r="M285" t="s">
        <v>44</v>
      </c>
    </row>
    <row r="286" spans="1:13" x14ac:dyDescent="0.35">
      <c r="A286" t="s">
        <v>343</v>
      </c>
      <c r="B286" t="s">
        <v>14</v>
      </c>
      <c r="C286" t="s">
        <v>38</v>
      </c>
      <c r="D286" t="s">
        <v>23</v>
      </c>
      <c r="E286">
        <v>13754</v>
      </c>
      <c r="F286">
        <v>13722</v>
      </c>
      <c r="G286" s="16" t="s">
        <v>17</v>
      </c>
      <c r="H286" s="3">
        <v>45398</v>
      </c>
      <c r="I286" s="3">
        <v>45408</v>
      </c>
      <c r="J286" t="s">
        <v>18</v>
      </c>
      <c r="K286" t="s">
        <v>30</v>
      </c>
      <c r="L286">
        <v>10</v>
      </c>
      <c r="M286" t="s">
        <v>51</v>
      </c>
    </row>
    <row r="287" spans="1:13" x14ac:dyDescent="0.35">
      <c r="A287" t="s">
        <v>344</v>
      </c>
      <c r="B287" t="s">
        <v>22</v>
      </c>
      <c r="C287" t="s">
        <v>15</v>
      </c>
      <c r="D287" t="s">
        <v>16</v>
      </c>
      <c r="E287">
        <v>12646</v>
      </c>
      <c r="F287">
        <v>0</v>
      </c>
      <c r="G287" s="16" t="s">
        <v>29</v>
      </c>
      <c r="H287" s="3">
        <v>45415</v>
      </c>
      <c r="I287" s="3"/>
      <c r="J287" t="s">
        <v>50</v>
      </c>
      <c r="K287" t="s">
        <v>56</v>
      </c>
      <c r="M287" t="s">
        <v>31</v>
      </c>
    </row>
    <row r="288" spans="1:13" x14ac:dyDescent="0.35">
      <c r="A288" t="s">
        <v>345</v>
      </c>
      <c r="B288" t="s">
        <v>79</v>
      </c>
      <c r="C288" t="s">
        <v>38</v>
      </c>
      <c r="D288" t="s">
        <v>58</v>
      </c>
      <c r="E288">
        <v>11171</v>
      </c>
      <c r="F288">
        <v>10146</v>
      </c>
      <c r="G288" s="16" t="s">
        <v>17</v>
      </c>
      <c r="H288" s="3">
        <v>45469</v>
      </c>
      <c r="I288" s="3">
        <v>45470</v>
      </c>
      <c r="J288" t="s">
        <v>18</v>
      </c>
      <c r="K288" t="s">
        <v>35</v>
      </c>
      <c r="L288">
        <v>1</v>
      </c>
      <c r="M288" t="s">
        <v>36</v>
      </c>
    </row>
    <row r="289" spans="1:13" x14ac:dyDescent="0.35">
      <c r="A289" t="s">
        <v>346</v>
      </c>
      <c r="B289" t="s">
        <v>26</v>
      </c>
      <c r="C289" t="s">
        <v>15</v>
      </c>
      <c r="D289" t="s">
        <v>34</v>
      </c>
      <c r="E289">
        <v>41660</v>
      </c>
      <c r="F289">
        <v>0</v>
      </c>
      <c r="G289" s="16" t="s">
        <v>29</v>
      </c>
      <c r="H289" s="3">
        <v>45596</v>
      </c>
      <c r="I289" s="3"/>
      <c r="J289" t="s">
        <v>50</v>
      </c>
      <c r="K289" t="s">
        <v>30</v>
      </c>
      <c r="M289" t="s">
        <v>76</v>
      </c>
    </row>
    <row r="290" spans="1:13" x14ac:dyDescent="0.35">
      <c r="A290" t="s">
        <v>347</v>
      </c>
      <c r="B290" t="s">
        <v>41</v>
      </c>
      <c r="C290" t="s">
        <v>15</v>
      </c>
      <c r="D290" t="s">
        <v>16</v>
      </c>
      <c r="E290">
        <v>31527</v>
      </c>
      <c r="F290">
        <v>31060</v>
      </c>
      <c r="G290" s="16" t="s">
        <v>17</v>
      </c>
      <c r="H290" s="3">
        <v>45474</v>
      </c>
      <c r="I290" s="3">
        <v>45483</v>
      </c>
      <c r="J290" t="s">
        <v>50</v>
      </c>
      <c r="K290" t="s">
        <v>35</v>
      </c>
      <c r="L290">
        <v>9</v>
      </c>
      <c r="M290" t="s">
        <v>85</v>
      </c>
    </row>
    <row r="291" spans="1:13" x14ac:dyDescent="0.35">
      <c r="A291" t="s">
        <v>348</v>
      </c>
      <c r="B291" t="s">
        <v>33</v>
      </c>
      <c r="C291" t="s">
        <v>27</v>
      </c>
      <c r="D291" t="s">
        <v>70</v>
      </c>
      <c r="E291">
        <v>42541</v>
      </c>
      <c r="F291">
        <v>40907</v>
      </c>
      <c r="G291" s="16" t="s">
        <v>17</v>
      </c>
      <c r="H291" s="3">
        <v>45418</v>
      </c>
      <c r="I291" s="3">
        <v>45420</v>
      </c>
      <c r="J291" t="s">
        <v>18</v>
      </c>
      <c r="K291" t="s">
        <v>43</v>
      </c>
      <c r="L291">
        <v>2</v>
      </c>
      <c r="M291" t="s">
        <v>31</v>
      </c>
    </row>
    <row r="292" spans="1:13" x14ac:dyDescent="0.35">
      <c r="A292" t="s">
        <v>349</v>
      </c>
      <c r="B292" t="s">
        <v>33</v>
      </c>
      <c r="C292" t="s">
        <v>27</v>
      </c>
      <c r="D292" t="s">
        <v>61</v>
      </c>
      <c r="E292">
        <v>27534</v>
      </c>
      <c r="F292">
        <v>26796</v>
      </c>
      <c r="G292" s="16" t="s">
        <v>17</v>
      </c>
      <c r="H292" s="3">
        <v>45346</v>
      </c>
      <c r="I292" s="3">
        <v>45348</v>
      </c>
      <c r="J292" t="s">
        <v>18</v>
      </c>
      <c r="K292" t="s">
        <v>43</v>
      </c>
      <c r="L292">
        <v>2</v>
      </c>
      <c r="M292" t="s">
        <v>20</v>
      </c>
    </row>
    <row r="293" spans="1:13" x14ac:dyDescent="0.35">
      <c r="A293" t="s">
        <v>350</v>
      </c>
      <c r="B293" t="s">
        <v>72</v>
      </c>
      <c r="C293" t="s">
        <v>38</v>
      </c>
      <c r="D293" t="s">
        <v>16</v>
      </c>
      <c r="E293">
        <v>8699</v>
      </c>
      <c r="F293">
        <v>8521</v>
      </c>
      <c r="G293" s="16" t="s">
        <v>17</v>
      </c>
      <c r="H293" s="3">
        <v>45387</v>
      </c>
      <c r="I293" s="3">
        <v>45394</v>
      </c>
      <c r="J293" t="s">
        <v>50</v>
      </c>
      <c r="K293" t="s">
        <v>19</v>
      </c>
      <c r="L293">
        <v>7</v>
      </c>
      <c r="M293" t="s">
        <v>51</v>
      </c>
    </row>
    <row r="294" spans="1:13" x14ac:dyDescent="0.35">
      <c r="A294" t="s">
        <v>351</v>
      </c>
      <c r="B294" t="s">
        <v>79</v>
      </c>
      <c r="C294" t="s">
        <v>27</v>
      </c>
      <c r="D294" t="s">
        <v>70</v>
      </c>
      <c r="E294">
        <v>3721</v>
      </c>
      <c r="F294">
        <v>2997</v>
      </c>
      <c r="G294" s="16" t="s">
        <v>17</v>
      </c>
      <c r="H294" s="3">
        <v>45575</v>
      </c>
      <c r="I294" s="3">
        <v>45577</v>
      </c>
      <c r="J294" t="s">
        <v>50</v>
      </c>
      <c r="K294" t="s">
        <v>30</v>
      </c>
      <c r="L294">
        <v>2</v>
      </c>
      <c r="M294" t="s">
        <v>76</v>
      </c>
    </row>
    <row r="295" spans="1:13" x14ac:dyDescent="0.35">
      <c r="A295" t="s">
        <v>352</v>
      </c>
      <c r="B295" t="s">
        <v>22</v>
      </c>
      <c r="C295" t="s">
        <v>15</v>
      </c>
      <c r="D295" t="s">
        <v>16</v>
      </c>
      <c r="E295">
        <v>29119</v>
      </c>
      <c r="F295">
        <v>27524</v>
      </c>
      <c r="G295" s="16" t="s">
        <v>17</v>
      </c>
      <c r="H295" s="3">
        <v>45335</v>
      </c>
      <c r="I295" s="3">
        <v>45344</v>
      </c>
      <c r="J295" t="s">
        <v>18</v>
      </c>
      <c r="K295" t="s">
        <v>19</v>
      </c>
      <c r="L295">
        <v>9</v>
      </c>
      <c r="M295" t="s">
        <v>20</v>
      </c>
    </row>
    <row r="296" spans="1:13" x14ac:dyDescent="0.35">
      <c r="A296" t="s">
        <v>353</v>
      </c>
      <c r="B296" t="s">
        <v>79</v>
      </c>
      <c r="C296" t="s">
        <v>73</v>
      </c>
      <c r="D296" t="s">
        <v>58</v>
      </c>
      <c r="E296">
        <v>13108</v>
      </c>
      <c r="F296">
        <v>12558</v>
      </c>
      <c r="G296" s="16" t="s">
        <v>17</v>
      </c>
      <c r="H296" s="3">
        <v>45446</v>
      </c>
      <c r="I296" s="3">
        <v>45451</v>
      </c>
      <c r="J296" t="s">
        <v>50</v>
      </c>
      <c r="K296" t="s">
        <v>47</v>
      </c>
      <c r="L296">
        <v>5</v>
      </c>
      <c r="M296" t="s">
        <v>36</v>
      </c>
    </row>
    <row r="297" spans="1:13" x14ac:dyDescent="0.35">
      <c r="A297" t="s">
        <v>354</v>
      </c>
      <c r="B297" t="s">
        <v>14</v>
      </c>
      <c r="C297" t="s">
        <v>73</v>
      </c>
      <c r="D297" t="s">
        <v>58</v>
      </c>
      <c r="E297">
        <v>20085</v>
      </c>
      <c r="F297">
        <v>19472</v>
      </c>
      <c r="G297" s="16" t="s">
        <v>17</v>
      </c>
      <c r="H297" s="3">
        <v>45539</v>
      </c>
      <c r="I297" s="3">
        <v>45541</v>
      </c>
      <c r="J297" t="s">
        <v>50</v>
      </c>
      <c r="K297" t="s">
        <v>43</v>
      </c>
      <c r="L297">
        <v>2</v>
      </c>
      <c r="M297" t="s">
        <v>24</v>
      </c>
    </row>
    <row r="298" spans="1:13" x14ac:dyDescent="0.35">
      <c r="A298" t="s">
        <v>355</v>
      </c>
      <c r="B298" t="s">
        <v>26</v>
      </c>
      <c r="C298" t="s">
        <v>64</v>
      </c>
      <c r="D298" t="s">
        <v>28</v>
      </c>
      <c r="E298">
        <v>32006</v>
      </c>
      <c r="F298">
        <v>31729</v>
      </c>
      <c r="G298" s="16" t="s">
        <v>17</v>
      </c>
      <c r="H298" s="3">
        <v>45447</v>
      </c>
      <c r="I298" s="3">
        <v>45448</v>
      </c>
      <c r="J298" t="s">
        <v>50</v>
      </c>
      <c r="K298" t="s">
        <v>43</v>
      </c>
      <c r="L298">
        <v>1</v>
      </c>
      <c r="M298" t="s">
        <v>36</v>
      </c>
    </row>
    <row r="299" spans="1:13" x14ac:dyDescent="0.35">
      <c r="A299" t="s">
        <v>356</v>
      </c>
      <c r="B299" t="s">
        <v>53</v>
      </c>
      <c r="C299" t="s">
        <v>27</v>
      </c>
      <c r="D299" t="s">
        <v>34</v>
      </c>
      <c r="E299">
        <v>30850</v>
      </c>
      <c r="F299">
        <v>29969</v>
      </c>
      <c r="G299" s="16" t="s">
        <v>17</v>
      </c>
      <c r="H299" s="3">
        <v>45625</v>
      </c>
      <c r="I299" s="3">
        <v>45635</v>
      </c>
      <c r="J299" t="s">
        <v>18</v>
      </c>
      <c r="K299" t="s">
        <v>43</v>
      </c>
      <c r="L299">
        <v>10</v>
      </c>
      <c r="M299" t="s">
        <v>48</v>
      </c>
    </row>
    <row r="300" spans="1:13" x14ac:dyDescent="0.35">
      <c r="A300" t="s">
        <v>357</v>
      </c>
      <c r="B300" t="s">
        <v>41</v>
      </c>
      <c r="C300" t="s">
        <v>46</v>
      </c>
      <c r="D300" t="s">
        <v>55</v>
      </c>
      <c r="E300">
        <v>22590</v>
      </c>
      <c r="F300">
        <v>20615</v>
      </c>
      <c r="G300" s="16" t="s">
        <v>17</v>
      </c>
      <c r="H300" s="3">
        <v>45495</v>
      </c>
      <c r="I300" s="3">
        <v>45501</v>
      </c>
      <c r="J300" t="s">
        <v>50</v>
      </c>
      <c r="K300" t="s">
        <v>56</v>
      </c>
      <c r="L300">
        <v>6</v>
      </c>
      <c r="M300" t="s">
        <v>85</v>
      </c>
    </row>
    <row r="301" spans="1:13" x14ac:dyDescent="0.35">
      <c r="A301" t="s">
        <v>358</v>
      </c>
      <c r="B301" t="s">
        <v>72</v>
      </c>
      <c r="C301" t="s">
        <v>46</v>
      </c>
      <c r="D301" t="s">
        <v>34</v>
      </c>
      <c r="E301">
        <v>26645</v>
      </c>
      <c r="F301">
        <v>24973</v>
      </c>
      <c r="G301" s="16" t="s">
        <v>17</v>
      </c>
      <c r="H301" s="3">
        <v>45493</v>
      </c>
      <c r="I301" s="3">
        <v>45499</v>
      </c>
      <c r="J301" t="s">
        <v>18</v>
      </c>
      <c r="K301" t="s">
        <v>19</v>
      </c>
      <c r="L301">
        <v>6</v>
      </c>
      <c r="M301" t="s">
        <v>85</v>
      </c>
    </row>
    <row r="302" spans="1:13" x14ac:dyDescent="0.35">
      <c r="A302" t="s">
        <v>359</v>
      </c>
      <c r="B302" t="s">
        <v>26</v>
      </c>
      <c r="C302" t="s">
        <v>73</v>
      </c>
      <c r="D302" t="s">
        <v>23</v>
      </c>
      <c r="E302">
        <v>49658</v>
      </c>
      <c r="F302">
        <v>47727</v>
      </c>
      <c r="G302" s="16" t="s">
        <v>17</v>
      </c>
      <c r="H302" s="3">
        <v>45654</v>
      </c>
      <c r="I302" s="3">
        <v>45658</v>
      </c>
      <c r="J302" t="s">
        <v>50</v>
      </c>
      <c r="K302" t="s">
        <v>30</v>
      </c>
      <c r="L302">
        <v>4</v>
      </c>
      <c r="M302" t="s">
        <v>62</v>
      </c>
    </row>
    <row r="303" spans="1:13" x14ac:dyDescent="0.35">
      <c r="A303" t="s">
        <v>360</v>
      </c>
      <c r="B303" t="s">
        <v>96</v>
      </c>
      <c r="C303" t="s">
        <v>15</v>
      </c>
      <c r="D303" t="s">
        <v>58</v>
      </c>
      <c r="E303">
        <v>46104</v>
      </c>
      <c r="F303">
        <v>45819</v>
      </c>
      <c r="G303" s="16" t="s">
        <v>17</v>
      </c>
      <c r="H303" s="3">
        <v>45616</v>
      </c>
      <c r="I303" s="3">
        <v>45621</v>
      </c>
      <c r="J303" t="s">
        <v>18</v>
      </c>
      <c r="K303" t="s">
        <v>43</v>
      </c>
      <c r="L303">
        <v>5</v>
      </c>
      <c r="M303" t="s">
        <v>48</v>
      </c>
    </row>
    <row r="304" spans="1:13" x14ac:dyDescent="0.35">
      <c r="A304" t="s">
        <v>361</v>
      </c>
      <c r="B304" t="s">
        <v>33</v>
      </c>
      <c r="C304" t="s">
        <v>27</v>
      </c>
      <c r="D304" t="s">
        <v>58</v>
      </c>
      <c r="E304">
        <v>6847</v>
      </c>
      <c r="F304">
        <v>5623</v>
      </c>
      <c r="G304" s="16" t="s">
        <v>17</v>
      </c>
      <c r="H304" s="3">
        <v>45537</v>
      </c>
      <c r="I304" s="3">
        <v>45547</v>
      </c>
      <c r="J304" t="s">
        <v>50</v>
      </c>
      <c r="K304" t="s">
        <v>19</v>
      </c>
      <c r="L304">
        <v>10</v>
      </c>
      <c r="M304" t="s">
        <v>24</v>
      </c>
    </row>
    <row r="305" spans="1:13" x14ac:dyDescent="0.35">
      <c r="A305" t="s">
        <v>362</v>
      </c>
      <c r="B305" t="s">
        <v>79</v>
      </c>
      <c r="C305" t="s">
        <v>27</v>
      </c>
      <c r="D305" t="s">
        <v>23</v>
      </c>
      <c r="E305">
        <v>25562</v>
      </c>
      <c r="F305">
        <v>0</v>
      </c>
      <c r="G305" s="16" t="s">
        <v>29</v>
      </c>
      <c r="H305" s="3">
        <v>45596</v>
      </c>
      <c r="I305" s="3"/>
      <c r="J305" t="s">
        <v>18</v>
      </c>
      <c r="K305" t="s">
        <v>47</v>
      </c>
      <c r="M305" t="s">
        <v>76</v>
      </c>
    </row>
    <row r="306" spans="1:13" x14ac:dyDescent="0.35">
      <c r="A306" t="s">
        <v>363</v>
      </c>
      <c r="B306" t="s">
        <v>26</v>
      </c>
      <c r="C306" t="s">
        <v>38</v>
      </c>
      <c r="D306" t="s">
        <v>61</v>
      </c>
      <c r="E306">
        <v>44401</v>
      </c>
      <c r="F306">
        <v>0</v>
      </c>
      <c r="G306" s="16" t="s">
        <v>29</v>
      </c>
      <c r="H306" s="3">
        <v>45314</v>
      </c>
      <c r="I306" s="3"/>
      <c r="J306" t="s">
        <v>50</v>
      </c>
      <c r="K306" t="s">
        <v>30</v>
      </c>
      <c r="M306" t="s">
        <v>39</v>
      </c>
    </row>
    <row r="307" spans="1:13" x14ac:dyDescent="0.35">
      <c r="A307" t="s">
        <v>364</v>
      </c>
      <c r="B307" t="s">
        <v>41</v>
      </c>
      <c r="C307" t="s">
        <v>27</v>
      </c>
      <c r="D307" t="s">
        <v>70</v>
      </c>
      <c r="E307">
        <v>2691</v>
      </c>
      <c r="F307">
        <v>2162</v>
      </c>
      <c r="G307" s="16" t="s">
        <v>17</v>
      </c>
      <c r="H307" s="3">
        <v>45405</v>
      </c>
      <c r="I307" s="3">
        <v>45414</v>
      </c>
      <c r="J307" t="s">
        <v>18</v>
      </c>
      <c r="K307" t="s">
        <v>35</v>
      </c>
      <c r="L307">
        <v>9</v>
      </c>
      <c r="M307" t="s">
        <v>51</v>
      </c>
    </row>
    <row r="308" spans="1:13" x14ac:dyDescent="0.35">
      <c r="A308" t="s">
        <v>365</v>
      </c>
      <c r="B308" t="s">
        <v>41</v>
      </c>
      <c r="C308" t="s">
        <v>27</v>
      </c>
      <c r="D308" t="s">
        <v>55</v>
      </c>
      <c r="E308">
        <v>46535</v>
      </c>
      <c r="F308">
        <v>0</v>
      </c>
      <c r="G308" s="16" t="s">
        <v>29</v>
      </c>
      <c r="H308" s="3">
        <v>45645</v>
      </c>
      <c r="I308" s="3"/>
      <c r="J308" t="s">
        <v>18</v>
      </c>
      <c r="K308" t="s">
        <v>43</v>
      </c>
      <c r="M308" t="s">
        <v>62</v>
      </c>
    </row>
    <row r="309" spans="1:13" x14ac:dyDescent="0.35">
      <c r="A309" t="s">
        <v>366</v>
      </c>
      <c r="B309" t="s">
        <v>60</v>
      </c>
      <c r="C309" t="s">
        <v>64</v>
      </c>
      <c r="D309" t="s">
        <v>70</v>
      </c>
      <c r="E309">
        <v>21361</v>
      </c>
      <c r="F309">
        <v>19476</v>
      </c>
      <c r="G309" s="16" t="s">
        <v>17</v>
      </c>
      <c r="H309" s="3">
        <v>45335</v>
      </c>
      <c r="I309" s="3">
        <v>45337</v>
      </c>
      <c r="J309" t="s">
        <v>18</v>
      </c>
      <c r="K309" t="s">
        <v>43</v>
      </c>
      <c r="L309">
        <v>2</v>
      </c>
      <c r="M309" t="s">
        <v>20</v>
      </c>
    </row>
    <row r="310" spans="1:13" x14ac:dyDescent="0.35">
      <c r="A310" t="s">
        <v>367</v>
      </c>
      <c r="B310" t="s">
        <v>96</v>
      </c>
      <c r="C310" t="s">
        <v>38</v>
      </c>
      <c r="D310" t="s">
        <v>55</v>
      </c>
      <c r="E310">
        <v>15557</v>
      </c>
      <c r="F310">
        <v>0</v>
      </c>
      <c r="G310" s="16" t="s">
        <v>29</v>
      </c>
      <c r="H310" s="3">
        <v>45539</v>
      </c>
      <c r="I310" s="3"/>
      <c r="J310" t="s">
        <v>50</v>
      </c>
      <c r="K310" t="s">
        <v>35</v>
      </c>
      <c r="M310" t="s">
        <v>24</v>
      </c>
    </row>
    <row r="311" spans="1:13" x14ac:dyDescent="0.35">
      <c r="A311" t="s">
        <v>368</v>
      </c>
      <c r="B311" t="s">
        <v>14</v>
      </c>
      <c r="C311" t="s">
        <v>64</v>
      </c>
      <c r="D311" t="s">
        <v>55</v>
      </c>
      <c r="E311">
        <v>22900</v>
      </c>
      <c r="F311">
        <v>22286</v>
      </c>
      <c r="G311" s="16" t="s">
        <v>17</v>
      </c>
      <c r="H311" s="3">
        <v>45314</v>
      </c>
      <c r="I311" s="3">
        <v>45316</v>
      </c>
      <c r="J311" t="s">
        <v>18</v>
      </c>
      <c r="K311" t="s">
        <v>30</v>
      </c>
      <c r="L311">
        <v>2</v>
      </c>
      <c r="M311" t="s">
        <v>39</v>
      </c>
    </row>
    <row r="312" spans="1:13" x14ac:dyDescent="0.35">
      <c r="A312" t="s">
        <v>369</v>
      </c>
      <c r="B312" t="s">
        <v>41</v>
      </c>
      <c r="C312" t="s">
        <v>15</v>
      </c>
      <c r="D312" t="s">
        <v>61</v>
      </c>
      <c r="E312">
        <v>17985</v>
      </c>
      <c r="F312">
        <v>0</v>
      </c>
      <c r="G312" s="16" t="s">
        <v>29</v>
      </c>
      <c r="H312" s="3">
        <v>45381</v>
      </c>
      <c r="I312" s="3"/>
      <c r="J312" t="s">
        <v>18</v>
      </c>
      <c r="K312" t="s">
        <v>43</v>
      </c>
      <c r="M312" t="s">
        <v>67</v>
      </c>
    </row>
    <row r="313" spans="1:13" x14ac:dyDescent="0.35">
      <c r="A313" t="s">
        <v>370</v>
      </c>
      <c r="B313" t="s">
        <v>79</v>
      </c>
      <c r="C313" t="s">
        <v>27</v>
      </c>
      <c r="D313" t="s">
        <v>55</v>
      </c>
      <c r="E313">
        <v>17194</v>
      </c>
      <c r="F313">
        <v>15905</v>
      </c>
      <c r="G313" s="16" t="s">
        <v>17</v>
      </c>
      <c r="H313" s="3">
        <v>45386</v>
      </c>
      <c r="I313" s="3">
        <v>45389</v>
      </c>
      <c r="J313" t="s">
        <v>50</v>
      </c>
      <c r="K313" t="s">
        <v>35</v>
      </c>
      <c r="L313">
        <v>3</v>
      </c>
      <c r="M313" t="s">
        <v>51</v>
      </c>
    </row>
    <row r="314" spans="1:13" x14ac:dyDescent="0.35">
      <c r="A314" t="s">
        <v>371</v>
      </c>
      <c r="B314" t="s">
        <v>60</v>
      </c>
      <c r="C314" t="s">
        <v>46</v>
      </c>
      <c r="D314" t="s">
        <v>55</v>
      </c>
      <c r="E314">
        <v>40810</v>
      </c>
      <c r="F314">
        <v>40014</v>
      </c>
      <c r="G314" s="16" t="s">
        <v>17</v>
      </c>
      <c r="H314" s="3">
        <v>45294</v>
      </c>
      <c r="I314" s="3">
        <v>45298</v>
      </c>
      <c r="J314" t="s">
        <v>18</v>
      </c>
      <c r="K314" t="s">
        <v>43</v>
      </c>
      <c r="L314">
        <v>4</v>
      </c>
      <c r="M314" t="s">
        <v>39</v>
      </c>
    </row>
    <row r="315" spans="1:13" x14ac:dyDescent="0.35">
      <c r="A315" t="s">
        <v>372</v>
      </c>
      <c r="B315" t="s">
        <v>14</v>
      </c>
      <c r="C315" t="s">
        <v>15</v>
      </c>
      <c r="D315" t="s">
        <v>61</v>
      </c>
      <c r="E315">
        <v>25972</v>
      </c>
      <c r="F315">
        <v>25569</v>
      </c>
      <c r="G315" s="16" t="s">
        <v>17</v>
      </c>
      <c r="H315" s="3">
        <v>45526</v>
      </c>
      <c r="I315" s="3">
        <v>45528</v>
      </c>
      <c r="J315" t="s">
        <v>50</v>
      </c>
      <c r="K315" t="s">
        <v>56</v>
      </c>
      <c r="L315">
        <v>2</v>
      </c>
      <c r="M315" t="s">
        <v>44</v>
      </c>
    </row>
    <row r="316" spans="1:13" x14ac:dyDescent="0.35">
      <c r="A316" t="s">
        <v>373</v>
      </c>
      <c r="B316" t="s">
        <v>72</v>
      </c>
      <c r="C316" t="s">
        <v>38</v>
      </c>
      <c r="D316" t="s">
        <v>58</v>
      </c>
      <c r="E316">
        <v>42062</v>
      </c>
      <c r="F316">
        <v>40860</v>
      </c>
      <c r="G316" s="16" t="s">
        <v>17</v>
      </c>
      <c r="H316" s="3">
        <v>45350</v>
      </c>
      <c r="I316" s="3">
        <v>45356</v>
      </c>
      <c r="J316" t="s">
        <v>50</v>
      </c>
      <c r="K316" t="s">
        <v>30</v>
      </c>
      <c r="L316">
        <v>6</v>
      </c>
      <c r="M316" t="s">
        <v>20</v>
      </c>
    </row>
    <row r="317" spans="1:13" x14ac:dyDescent="0.35">
      <c r="A317" t="s">
        <v>374</v>
      </c>
      <c r="B317" t="s">
        <v>72</v>
      </c>
      <c r="C317" t="s">
        <v>73</v>
      </c>
      <c r="D317" t="s">
        <v>16</v>
      </c>
      <c r="E317">
        <v>42270</v>
      </c>
      <c r="F317">
        <v>0</v>
      </c>
      <c r="G317" s="16" t="s">
        <v>29</v>
      </c>
      <c r="H317" s="3">
        <v>45335</v>
      </c>
      <c r="I317" s="3"/>
      <c r="J317" t="s">
        <v>18</v>
      </c>
      <c r="K317" t="s">
        <v>43</v>
      </c>
      <c r="M317" t="s">
        <v>20</v>
      </c>
    </row>
    <row r="318" spans="1:13" x14ac:dyDescent="0.35">
      <c r="A318" t="s">
        <v>375</v>
      </c>
      <c r="B318" t="s">
        <v>14</v>
      </c>
      <c r="C318" t="s">
        <v>46</v>
      </c>
      <c r="D318" t="s">
        <v>16</v>
      </c>
      <c r="E318">
        <v>9664</v>
      </c>
      <c r="F318">
        <v>8900</v>
      </c>
      <c r="G318" s="16" t="s">
        <v>17</v>
      </c>
      <c r="H318" s="3">
        <v>45647</v>
      </c>
      <c r="I318" s="3">
        <v>45650</v>
      </c>
      <c r="J318" t="s">
        <v>50</v>
      </c>
      <c r="K318" t="s">
        <v>35</v>
      </c>
      <c r="L318">
        <v>3</v>
      </c>
      <c r="M318" t="s">
        <v>62</v>
      </c>
    </row>
    <row r="319" spans="1:13" x14ac:dyDescent="0.35">
      <c r="A319" t="s">
        <v>376</v>
      </c>
      <c r="B319" t="s">
        <v>53</v>
      </c>
      <c r="C319" t="s">
        <v>73</v>
      </c>
      <c r="D319" t="s">
        <v>58</v>
      </c>
      <c r="E319">
        <v>29724</v>
      </c>
      <c r="F319">
        <v>28728</v>
      </c>
      <c r="G319" s="16" t="s">
        <v>17</v>
      </c>
      <c r="H319" s="3">
        <v>45617</v>
      </c>
      <c r="I319" s="3">
        <v>45626</v>
      </c>
      <c r="J319" t="s">
        <v>18</v>
      </c>
      <c r="K319" t="s">
        <v>19</v>
      </c>
      <c r="L319">
        <v>9</v>
      </c>
      <c r="M319" t="s">
        <v>48</v>
      </c>
    </row>
    <row r="320" spans="1:13" x14ac:dyDescent="0.35">
      <c r="A320" t="s">
        <v>377</v>
      </c>
      <c r="B320" t="s">
        <v>33</v>
      </c>
      <c r="C320" t="s">
        <v>64</v>
      </c>
      <c r="D320" t="s">
        <v>16</v>
      </c>
      <c r="E320">
        <v>11194</v>
      </c>
      <c r="F320">
        <v>10550</v>
      </c>
      <c r="G320" s="16" t="s">
        <v>17</v>
      </c>
      <c r="H320" s="3">
        <v>45522</v>
      </c>
      <c r="I320" s="3">
        <v>45532</v>
      </c>
      <c r="J320" t="s">
        <v>18</v>
      </c>
      <c r="K320" t="s">
        <v>30</v>
      </c>
      <c r="L320">
        <v>10</v>
      </c>
      <c r="M320" t="s">
        <v>44</v>
      </c>
    </row>
    <row r="321" spans="1:13" x14ac:dyDescent="0.35">
      <c r="A321" t="s">
        <v>378</v>
      </c>
      <c r="B321" t="s">
        <v>41</v>
      </c>
      <c r="C321" t="s">
        <v>15</v>
      </c>
      <c r="D321" t="s">
        <v>55</v>
      </c>
      <c r="E321">
        <v>10947</v>
      </c>
      <c r="F321">
        <v>9278</v>
      </c>
      <c r="G321" s="16" t="s">
        <v>17</v>
      </c>
      <c r="H321" s="3">
        <v>45488</v>
      </c>
      <c r="I321" s="3">
        <v>45497</v>
      </c>
      <c r="J321" t="s">
        <v>50</v>
      </c>
      <c r="K321" t="s">
        <v>35</v>
      </c>
      <c r="L321">
        <v>9</v>
      </c>
      <c r="M321" t="s">
        <v>85</v>
      </c>
    </row>
    <row r="322" spans="1:13" x14ac:dyDescent="0.35">
      <c r="A322" t="s">
        <v>379</v>
      </c>
      <c r="B322" t="s">
        <v>72</v>
      </c>
      <c r="C322" t="s">
        <v>27</v>
      </c>
      <c r="D322" t="s">
        <v>55</v>
      </c>
      <c r="E322">
        <v>34027</v>
      </c>
      <c r="F322">
        <v>33858</v>
      </c>
      <c r="G322" s="16" t="s">
        <v>17</v>
      </c>
      <c r="H322" s="3">
        <v>45581</v>
      </c>
      <c r="I322" s="3">
        <v>45582</v>
      </c>
      <c r="J322" t="s">
        <v>18</v>
      </c>
      <c r="K322" t="s">
        <v>43</v>
      </c>
      <c r="L322">
        <v>1</v>
      </c>
      <c r="M322" t="s">
        <v>76</v>
      </c>
    </row>
    <row r="323" spans="1:13" x14ac:dyDescent="0.35">
      <c r="A323" t="s">
        <v>380</v>
      </c>
      <c r="B323" t="s">
        <v>60</v>
      </c>
      <c r="C323" t="s">
        <v>38</v>
      </c>
      <c r="D323" t="s">
        <v>28</v>
      </c>
      <c r="E323">
        <v>37232</v>
      </c>
      <c r="F323">
        <v>36888</v>
      </c>
      <c r="G323" s="16" t="s">
        <v>17</v>
      </c>
      <c r="H323" s="3">
        <v>45526</v>
      </c>
      <c r="I323" s="3">
        <v>45536</v>
      </c>
      <c r="J323" t="s">
        <v>50</v>
      </c>
      <c r="K323" t="s">
        <v>19</v>
      </c>
      <c r="L323">
        <v>10</v>
      </c>
      <c r="M323" t="s">
        <v>44</v>
      </c>
    </row>
    <row r="324" spans="1:13" x14ac:dyDescent="0.35">
      <c r="A324" t="s">
        <v>381</v>
      </c>
      <c r="B324" t="s">
        <v>79</v>
      </c>
      <c r="C324" t="s">
        <v>15</v>
      </c>
      <c r="D324" t="s">
        <v>70</v>
      </c>
      <c r="E324">
        <v>19556</v>
      </c>
      <c r="F324">
        <v>0</v>
      </c>
      <c r="G324" s="16" t="s">
        <v>29</v>
      </c>
      <c r="H324" s="3">
        <v>45479</v>
      </c>
      <c r="I324" s="3"/>
      <c r="J324" t="s">
        <v>18</v>
      </c>
      <c r="K324" t="s">
        <v>30</v>
      </c>
      <c r="M324" t="s">
        <v>85</v>
      </c>
    </row>
    <row r="325" spans="1:13" x14ac:dyDescent="0.35">
      <c r="A325" t="s">
        <v>382</v>
      </c>
      <c r="B325" t="s">
        <v>72</v>
      </c>
      <c r="C325" t="s">
        <v>46</v>
      </c>
      <c r="D325" t="s">
        <v>58</v>
      </c>
      <c r="E325">
        <v>8711</v>
      </c>
      <c r="F325">
        <v>8102</v>
      </c>
      <c r="G325" s="16" t="s">
        <v>17</v>
      </c>
      <c r="H325" s="3">
        <v>45308</v>
      </c>
      <c r="I325" s="3">
        <v>45316</v>
      </c>
      <c r="J325" t="s">
        <v>50</v>
      </c>
      <c r="K325" t="s">
        <v>43</v>
      </c>
      <c r="L325">
        <v>8</v>
      </c>
      <c r="M325" t="s">
        <v>39</v>
      </c>
    </row>
    <row r="326" spans="1:13" x14ac:dyDescent="0.35">
      <c r="A326" t="s">
        <v>383</v>
      </c>
      <c r="B326" t="s">
        <v>14</v>
      </c>
      <c r="C326" t="s">
        <v>64</v>
      </c>
      <c r="D326" t="s">
        <v>70</v>
      </c>
      <c r="E326">
        <v>17528</v>
      </c>
      <c r="F326">
        <v>15868</v>
      </c>
      <c r="G326" s="16" t="s">
        <v>17</v>
      </c>
      <c r="H326" s="3">
        <v>45593</v>
      </c>
      <c r="I326" s="3">
        <v>45599</v>
      </c>
      <c r="J326" t="s">
        <v>50</v>
      </c>
      <c r="K326" t="s">
        <v>47</v>
      </c>
      <c r="L326">
        <v>6</v>
      </c>
      <c r="M326" t="s">
        <v>76</v>
      </c>
    </row>
    <row r="327" spans="1:13" x14ac:dyDescent="0.35">
      <c r="A327" t="s">
        <v>384</v>
      </c>
      <c r="B327" t="s">
        <v>53</v>
      </c>
      <c r="C327" t="s">
        <v>73</v>
      </c>
      <c r="D327" t="s">
        <v>28</v>
      </c>
      <c r="E327">
        <v>15562</v>
      </c>
      <c r="F327">
        <v>14395</v>
      </c>
      <c r="G327" s="16" t="s">
        <v>17</v>
      </c>
      <c r="H327" s="3">
        <v>45471</v>
      </c>
      <c r="I327" s="3">
        <v>45480</v>
      </c>
      <c r="J327" t="s">
        <v>50</v>
      </c>
      <c r="K327" t="s">
        <v>19</v>
      </c>
      <c r="L327">
        <v>9</v>
      </c>
      <c r="M327" t="s">
        <v>36</v>
      </c>
    </row>
    <row r="328" spans="1:13" x14ac:dyDescent="0.35">
      <c r="A328" t="s">
        <v>385</v>
      </c>
      <c r="B328" t="s">
        <v>79</v>
      </c>
      <c r="C328" t="s">
        <v>73</v>
      </c>
      <c r="D328" t="s">
        <v>34</v>
      </c>
      <c r="E328">
        <v>48140</v>
      </c>
      <c r="F328">
        <v>47548</v>
      </c>
      <c r="G328" s="16" t="s">
        <v>17</v>
      </c>
      <c r="H328" s="3">
        <v>45585</v>
      </c>
      <c r="I328" s="3">
        <v>45590</v>
      </c>
      <c r="J328" t="s">
        <v>18</v>
      </c>
      <c r="K328" t="s">
        <v>47</v>
      </c>
      <c r="L328">
        <v>5</v>
      </c>
      <c r="M328" t="s">
        <v>76</v>
      </c>
    </row>
    <row r="329" spans="1:13" x14ac:dyDescent="0.35">
      <c r="A329" t="s">
        <v>386</v>
      </c>
      <c r="B329" t="s">
        <v>22</v>
      </c>
      <c r="C329" t="s">
        <v>15</v>
      </c>
      <c r="D329" t="s">
        <v>16</v>
      </c>
      <c r="E329">
        <v>44984</v>
      </c>
      <c r="F329">
        <v>43548</v>
      </c>
      <c r="G329" s="16" t="s">
        <v>17</v>
      </c>
      <c r="H329" s="3">
        <v>45359</v>
      </c>
      <c r="I329" s="3">
        <v>45363</v>
      </c>
      <c r="J329" t="s">
        <v>18</v>
      </c>
      <c r="K329" t="s">
        <v>56</v>
      </c>
      <c r="L329">
        <v>4</v>
      </c>
      <c r="M329" t="s">
        <v>67</v>
      </c>
    </row>
    <row r="330" spans="1:13" x14ac:dyDescent="0.35">
      <c r="A330" t="s">
        <v>387</v>
      </c>
      <c r="B330" t="s">
        <v>41</v>
      </c>
      <c r="C330" t="s">
        <v>46</v>
      </c>
      <c r="D330" t="s">
        <v>58</v>
      </c>
      <c r="E330">
        <v>34077</v>
      </c>
      <c r="F330">
        <v>32895</v>
      </c>
      <c r="G330" s="16" t="s">
        <v>17</v>
      </c>
      <c r="H330" s="3">
        <v>45615</v>
      </c>
      <c r="I330" s="3">
        <v>45620</v>
      </c>
      <c r="J330" t="s">
        <v>50</v>
      </c>
      <c r="K330" t="s">
        <v>35</v>
      </c>
      <c r="L330">
        <v>5</v>
      </c>
      <c r="M330" t="s">
        <v>48</v>
      </c>
    </row>
    <row r="331" spans="1:13" x14ac:dyDescent="0.35">
      <c r="A331" t="s">
        <v>388</v>
      </c>
      <c r="B331" t="s">
        <v>72</v>
      </c>
      <c r="C331" t="s">
        <v>15</v>
      </c>
      <c r="D331" t="s">
        <v>70</v>
      </c>
      <c r="E331">
        <v>28401</v>
      </c>
      <c r="F331">
        <v>0</v>
      </c>
      <c r="G331" s="16" t="s">
        <v>29</v>
      </c>
      <c r="H331" s="3">
        <v>45434</v>
      </c>
      <c r="I331" s="3"/>
      <c r="J331" t="s">
        <v>50</v>
      </c>
      <c r="K331" t="s">
        <v>35</v>
      </c>
      <c r="M331" t="s">
        <v>31</v>
      </c>
    </row>
    <row r="332" spans="1:13" x14ac:dyDescent="0.35">
      <c r="A332" t="s">
        <v>389</v>
      </c>
      <c r="B332" t="s">
        <v>72</v>
      </c>
      <c r="C332" t="s">
        <v>38</v>
      </c>
      <c r="D332" t="s">
        <v>23</v>
      </c>
      <c r="E332">
        <v>8104</v>
      </c>
      <c r="F332">
        <v>6804</v>
      </c>
      <c r="G332" s="16" t="s">
        <v>17</v>
      </c>
      <c r="H332" s="3">
        <v>45632</v>
      </c>
      <c r="I332" s="3">
        <v>45638</v>
      </c>
      <c r="J332" t="s">
        <v>18</v>
      </c>
      <c r="K332" t="s">
        <v>30</v>
      </c>
      <c r="L332">
        <v>6</v>
      </c>
      <c r="M332" t="s">
        <v>62</v>
      </c>
    </row>
    <row r="333" spans="1:13" x14ac:dyDescent="0.35">
      <c r="A333" t="s">
        <v>390</v>
      </c>
      <c r="B333" t="s">
        <v>79</v>
      </c>
      <c r="C333" t="s">
        <v>27</v>
      </c>
      <c r="D333" t="s">
        <v>28</v>
      </c>
      <c r="E333">
        <v>30157</v>
      </c>
      <c r="F333">
        <v>29144</v>
      </c>
      <c r="G333" s="16" t="s">
        <v>17</v>
      </c>
      <c r="H333" s="3">
        <v>45429</v>
      </c>
      <c r="I333" s="3">
        <v>45435</v>
      </c>
      <c r="J333" t="s">
        <v>50</v>
      </c>
      <c r="K333" t="s">
        <v>43</v>
      </c>
      <c r="L333">
        <v>6</v>
      </c>
      <c r="M333" t="s">
        <v>31</v>
      </c>
    </row>
    <row r="334" spans="1:13" x14ac:dyDescent="0.35">
      <c r="A334" t="s">
        <v>391</v>
      </c>
      <c r="B334" t="s">
        <v>79</v>
      </c>
      <c r="C334" t="s">
        <v>73</v>
      </c>
      <c r="D334" t="s">
        <v>55</v>
      </c>
      <c r="E334">
        <v>24527</v>
      </c>
      <c r="F334">
        <v>24433</v>
      </c>
      <c r="G334" s="16" t="s">
        <v>17</v>
      </c>
      <c r="H334" s="3">
        <v>45342</v>
      </c>
      <c r="I334" s="3">
        <v>45350</v>
      </c>
      <c r="J334" t="s">
        <v>18</v>
      </c>
      <c r="K334" t="s">
        <v>47</v>
      </c>
      <c r="L334">
        <v>8</v>
      </c>
      <c r="M334" t="s">
        <v>20</v>
      </c>
    </row>
    <row r="335" spans="1:13" x14ac:dyDescent="0.35">
      <c r="A335" t="s">
        <v>392</v>
      </c>
      <c r="B335" t="s">
        <v>33</v>
      </c>
      <c r="C335" t="s">
        <v>64</v>
      </c>
      <c r="D335" t="s">
        <v>55</v>
      </c>
      <c r="E335">
        <v>2044</v>
      </c>
      <c r="F335">
        <v>1630</v>
      </c>
      <c r="G335" s="16" t="s">
        <v>17</v>
      </c>
      <c r="H335" s="3">
        <v>45644</v>
      </c>
      <c r="I335" s="3">
        <v>45647</v>
      </c>
      <c r="J335" t="s">
        <v>50</v>
      </c>
      <c r="K335" t="s">
        <v>47</v>
      </c>
      <c r="L335">
        <v>3</v>
      </c>
      <c r="M335" t="s">
        <v>62</v>
      </c>
    </row>
    <row r="336" spans="1:13" x14ac:dyDescent="0.35">
      <c r="A336" t="s">
        <v>393</v>
      </c>
      <c r="B336" t="s">
        <v>96</v>
      </c>
      <c r="C336" t="s">
        <v>15</v>
      </c>
      <c r="D336" t="s">
        <v>34</v>
      </c>
      <c r="E336">
        <v>18409</v>
      </c>
      <c r="F336">
        <v>17648</v>
      </c>
      <c r="G336" s="16" t="s">
        <v>17</v>
      </c>
      <c r="H336" s="3">
        <v>45632</v>
      </c>
      <c r="I336" s="3">
        <v>45635</v>
      </c>
      <c r="J336" t="s">
        <v>18</v>
      </c>
      <c r="K336" t="s">
        <v>35</v>
      </c>
      <c r="L336">
        <v>3</v>
      </c>
      <c r="M336" t="s">
        <v>62</v>
      </c>
    </row>
    <row r="337" spans="1:13" x14ac:dyDescent="0.35">
      <c r="A337" t="s">
        <v>394</v>
      </c>
      <c r="B337" t="s">
        <v>96</v>
      </c>
      <c r="C337" t="s">
        <v>46</v>
      </c>
      <c r="D337" t="s">
        <v>58</v>
      </c>
      <c r="E337">
        <v>44957</v>
      </c>
      <c r="F337">
        <v>43516</v>
      </c>
      <c r="G337" s="16" t="s">
        <v>17</v>
      </c>
      <c r="H337" s="3">
        <v>45340</v>
      </c>
      <c r="I337" s="3">
        <v>45341</v>
      </c>
      <c r="J337" t="s">
        <v>18</v>
      </c>
      <c r="K337" t="s">
        <v>35</v>
      </c>
      <c r="L337">
        <v>1</v>
      </c>
      <c r="M337" t="s">
        <v>20</v>
      </c>
    </row>
    <row r="338" spans="1:13" x14ac:dyDescent="0.35">
      <c r="A338" t="s">
        <v>395</v>
      </c>
      <c r="B338" t="s">
        <v>14</v>
      </c>
      <c r="C338" t="s">
        <v>73</v>
      </c>
      <c r="D338" t="s">
        <v>28</v>
      </c>
      <c r="E338">
        <v>36042</v>
      </c>
      <c r="F338">
        <v>36023</v>
      </c>
      <c r="G338" s="16" t="s">
        <v>17</v>
      </c>
      <c r="H338" s="3">
        <v>45296</v>
      </c>
      <c r="I338" s="3">
        <v>45302</v>
      </c>
      <c r="J338" t="s">
        <v>18</v>
      </c>
      <c r="K338" t="s">
        <v>30</v>
      </c>
      <c r="L338">
        <v>6</v>
      </c>
      <c r="M338" t="s">
        <v>39</v>
      </c>
    </row>
    <row r="339" spans="1:13" x14ac:dyDescent="0.35">
      <c r="A339" t="s">
        <v>396</v>
      </c>
      <c r="B339" t="s">
        <v>22</v>
      </c>
      <c r="C339" t="s">
        <v>73</v>
      </c>
      <c r="D339" t="s">
        <v>55</v>
      </c>
      <c r="E339">
        <v>6641</v>
      </c>
      <c r="F339">
        <v>5857</v>
      </c>
      <c r="G339" s="16" t="s">
        <v>17</v>
      </c>
      <c r="H339" s="3">
        <v>45337</v>
      </c>
      <c r="I339" s="3">
        <v>45339</v>
      </c>
      <c r="J339" t="s">
        <v>18</v>
      </c>
      <c r="K339" t="s">
        <v>43</v>
      </c>
      <c r="L339">
        <v>2</v>
      </c>
      <c r="M339" t="s">
        <v>20</v>
      </c>
    </row>
    <row r="340" spans="1:13" x14ac:dyDescent="0.35">
      <c r="A340" t="s">
        <v>397</v>
      </c>
      <c r="B340" t="s">
        <v>41</v>
      </c>
      <c r="C340" t="s">
        <v>38</v>
      </c>
      <c r="D340" t="s">
        <v>61</v>
      </c>
      <c r="E340">
        <v>27082</v>
      </c>
      <c r="F340">
        <v>25769</v>
      </c>
      <c r="G340" s="16" t="s">
        <v>17</v>
      </c>
      <c r="H340" s="3">
        <v>45638</v>
      </c>
      <c r="I340" s="3">
        <v>45641</v>
      </c>
      <c r="J340" t="s">
        <v>18</v>
      </c>
      <c r="K340" t="s">
        <v>19</v>
      </c>
      <c r="L340">
        <v>3</v>
      </c>
      <c r="M340" t="s">
        <v>62</v>
      </c>
    </row>
    <row r="341" spans="1:13" x14ac:dyDescent="0.35">
      <c r="A341" t="s">
        <v>398</v>
      </c>
      <c r="B341" t="s">
        <v>53</v>
      </c>
      <c r="C341" t="s">
        <v>15</v>
      </c>
      <c r="D341" t="s">
        <v>61</v>
      </c>
      <c r="E341">
        <v>30842</v>
      </c>
      <c r="F341">
        <v>29363</v>
      </c>
      <c r="G341" s="16" t="s">
        <v>17</v>
      </c>
      <c r="H341" s="3">
        <v>45401</v>
      </c>
      <c r="I341" s="3">
        <v>45404</v>
      </c>
      <c r="J341" t="s">
        <v>50</v>
      </c>
      <c r="K341" t="s">
        <v>19</v>
      </c>
      <c r="L341">
        <v>3</v>
      </c>
      <c r="M341" t="s">
        <v>51</v>
      </c>
    </row>
    <row r="342" spans="1:13" x14ac:dyDescent="0.35">
      <c r="A342" t="s">
        <v>399</v>
      </c>
      <c r="B342" t="s">
        <v>72</v>
      </c>
      <c r="C342" t="s">
        <v>46</v>
      </c>
      <c r="D342" t="s">
        <v>70</v>
      </c>
      <c r="E342">
        <v>8584</v>
      </c>
      <c r="F342">
        <v>7043</v>
      </c>
      <c r="G342" s="16" t="s">
        <v>17</v>
      </c>
      <c r="H342" s="3">
        <v>45355</v>
      </c>
      <c r="I342" s="3">
        <v>45365</v>
      </c>
      <c r="J342" t="s">
        <v>50</v>
      </c>
      <c r="K342" t="s">
        <v>43</v>
      </c>
      <c r="L342">
        <v>10</v>
      </c>
      <c r="M342" t="s">
        <v>67</v>
      </c>
    </row>
    <row r="343" spans="1:13" x14ac:dyDescent="0.35">
      <c r="A343" t="s">
        <v>400</v>
      </c>
      <c r="B343" t="s">
        <v>22</v>
      </c>
      <c r="C343" t="s">
        <v>38</v>
      </c>
      <c r="D343" t="s">
        <v>61</v>
      </c>
      <c r="E343">
        <v>18238</v>
      </c>
      <c r="F343">
        <v>16918</v>
      </c>
      <c r="G343" s="16" t="s">
        <v>17</v>
      </c>
      <c r="H343" s="3">
        <v>45335</v>
      </c>
      <c r="I343" s="3">
        <v>45339</v>
      </c>
      <c r="J343" t="s">
        <v>50</v>
      </c>
      <c r="K343" t="s">
        <v>30</v>
      </c>
      <c r="L343">
        <v>4</v>
      </c>
      <c r="M343" t="s">
        <v>20</v>
      </c>
    </row>
    <row r="344" spans="1:13" x14ac:dyDescent="0.35">
      <c r="A344" t="s">
        <v>401</v>
      </c>
      <c r="B344" t="s">
        <v>60</v>
      </c>
      <c r="C344" t="s">
        <v>38</v>
      </c>
      <c r="D344" t="s">
        <v>28</v>
      </c>
      <c r="E344">
        <v>35931</v>
      </c>
      <c r="F344">
        <v>0</v>
      </c>
      <c r="G344" s="16" t="s">
        <v>29</v>
      </c>
      <c r="H344" s="3">
        <v>45552</v>
      </c>
      <c r="I344" s="3"/>
      <c r="J344" t="s">
        <v>18</v>
      </c>
      <c r="K344" t="s">
        <v>56</v>
      </c>
      <c r="M344" t="s">
        <v>24</v>
      </c>
    </row>
    <row r="345" spans="1:13" x14ac:dyDescent="0.35">
      <c r="A345" t="s">
        <v>402</v>
      </c>
      <c r="B345" t="s">
        <v>22</v>
      </c>
      <c r="C345" t="s">
        <v>38</v>
      </c>
      <c r="D345" t="s">
        <v>23</v>
      </c>
      <c r="E345">
        <v>17685</v>
      </c>
      <c r="F345">
        <v>16895</v>
      </c>
      <c r="G345" s="16" t="s">
        <v>17</v>
      </c>
      <c r="H345" s="3">
        <v>45349</v>
      </c>
      <c r="I345" s="3">
        <v>45353</v>
      </c>
      <c r="J345" t="s">
        <v>50</v>
      </c>
      <c r="K345" t="s">
        <v>56</v>
      </c>
      <c r="L345">
        <v>4</v>
      </c>
      <c r="M345" t="s">
        <v>20</v>
      </c>
    </row>
    <row r="346" spans="1:13" x14ac:dyDescent="0.35">
      <c r="A346" t="s">
        <v>403</v>
      </c>
      <c r="B346" t="s">
        <v>53</v>
      </c>
      <c r="C346" t="s">
        <v>15</v>
      </c>
      <c r="D346" t="s">
        <v>23</v>
      </c>
      <c r="E346">
        <v>25664</v>
      </c>
      <c r="F346">
        <v>25394</v>
      </c>
      <c r="G346" s="16" t="s">
        <v>17</v>
      </c>
      <c r="H346" s="3">
        <v>45490</v>
      </c>
      <c r="I346" s="3">
        <v>45500</v>
      </c>
      <c r="J346" t="s">
        <v>50</v>
      </c>
      <c r="K346" t="s">
        <v>43</v>
      </c>
      <c r="L346">
        <v>10</v>
      </c>
      <c r="M346" t="s">
        <v>85</v>
      </c>
    </row>
    <row r="347" spans="1:13" x14ac:dyDescent="0.35">
      <c r="A347" t="s">
        <v>404</v>
      </c>
      <c r="B347" t="s">
        <v>79</v>
      </c>
      <c r="C347" t="s">
        <v>73</v>
      </c>
      <c r="D347" t="s">
        <v>55</v>
      </c>
      <c r="E347">
        <v>6783</v>
      </c>
      <c r="F347">
        <v>5581</v>
      </c>
      <c r="G347" s="16" t="s">
        <v>17</v>
      </c>
      <c r="H347" s="3">
        <v>45326</v>
      </c>
      <c r="I347" s="3">
        <v>45327</v>
      </c>
      <c r="J347" t="s">
        <v>50</v>
      </c>
      <c r="K347" t="s">
        <v>47</v>
      </c>
      <c r="L347">
        <v>1</v>
      </c>
      <c r="M347" t="s">
        <v>20</v>
      </c>
    </row>
    <row r="348" spans="1:13" x14ac:dyDescent="0.35">
      <c r="A348" t="s">
        <v>405</v>
      </c>
      <c r="B348" t="s">
        <v>60</v>
      </c>
      <c r="C348" t="s">
        <v>15</v>
      </c>
      <c r="D348" t="s">
        <v>58</v>
      </c>
      <c r="E348">
        <v>35201</v>
      </c>
      <c r="F348">
        <v>33914</v>
      </c>
      <c r="G348" s="16" t="s">
        <v>17</v>
      </c>
      <c r="H348" s="3">
        <v>45656</v>
      </c>
      <c r="I348" s="3">
        <v>45665</v>
      </c>
      <c r="J348" t="s">
        <v>50</v>
      </c>
      <c r="K348" t="s">
        <v>35</v>
      </c>
      <c r="L348">
        <v>9</v>
      </c>
      <c r="M348" t="s">
        <v>62</v>
      </c>
    </row>
    <row r="349" spans="1:13" x14ac:dyDescent="0.35">
      <c r="A349" t="s">
        <v>406</v>
      </c>
      <c r="B349" t="s">
        <v>22</v>
      </c>
      <c r="C349" t="s">
        <v>15</v>
      </c>
      <c r="D349" t="s">
        <v>61</v>
      </c>
      <c r="E349">
        <v>20184</v>
      </c>
      <c r="F349">
        <v>19550</v>
      </c>
      <c r="G349" s="16" t="s">
        <v>17</v>
      </c>
      <c r="H349" s="3">
        <v>45332</v>
      </c>
      <c r="I349" s="3">
        <v>45341</v>
      </c>
      <c r="J349" t="s">
        <v>18</v>
      </c>
      <c r="K349" t="s">
        <v>30</v>
      </c>
      <c r="L349">
        <v>9</v>
      </c>
      <c r="M349" t="s">
        <v>20</v>
      </c>
    </row>
    <row r="350" spans="1:13" x14ac:dyDescent="0.35">
      <c r="A350" t="s">
        <v>407</v>
      </c>
      <c r="B350" t="s">
        <v>33</v>
      </c>
      <c r="C350" t="s">
        <v>38</v>
      </c>
      <c r="D350" t="s">
        <v>58</v>
      </c>
      <c r="E350">
        <v>40432</v>
      </c>
      <c r="F350">
        <v>39797</v>
      </c>
      <c r="G350" s="16" t="s">
        <v>17</v>
      </c>
      <c r="H350" s="3">
        <v>45649</v>
      </c>
      <c r="I350" s="3">
        <v>45656</v>
      </c>
      <c r="J350" t="s">
        <v>18</v>
      </c>
      <c r="K350" t="s">
        <v>47</v>
      </c>
      <c r="L350">
        <v>7</v>
      </c>
      <c r="M350" t="s">
        <v>62</v>
      </c>
    </row>
    <row r="351" spans="1:13" x14ac:dyDescent="0.35">
      <c r="A351" t="s">
        <v>408</v>
      </c>
      <c r="B351" t="s">
        <v>26</v>
      </c>
      <c r="C351" t="s">
        <v>15</v>
      </c>
      <c r="D351" t="s">
        <v>58</v>
      </c>
      <c r="E351">
        <v>9601</v>
      </c>
      <c r="F351">
        <v>8348</v>
      </c>
      <c r="G351" s="16" t="s">
        <v>17</v>
      </c>
      <c r="H351" s="3">
        <v>45603</v>
      </c>
      <c r="I351" s="3">
        <v>45604</v>
      </c>
      <c r="J351" t="s">
        <v>50</v>
      </c>
      <c r="K351" t="s">
        <v>56</v>
      </c>
      <c r="L351">
        <v>1</v>
      </c>
      <c r="M351" t="s">
        <v>48</v>
      </c>
    </row>
    <row r="352" spans="1:13" x14ac:dyDescent="0.35">
      <c r="A352" t="s">
        <v>409</v>
      </c>
      <c r="B352" t="s">
        <v>33</v>
      </c>
      <c r="C352" t="s">
        <v>15</v>
      </c>
      <c r="D352" t="s">
        <v>23</v>
      </c>
      <c r="E352">
        <v>48392</v>
      </c>
      <c r="F352">
        <v>46956</v>
      </c>
      <c r="G352" s="16" t="s">
        <v>17</v>
      </c>
      <c r="H352" s="3">
        <v>45297</v>
      </c>
      <c r="I352" s="3">
        <v>45300</v>
      </c>
      <c r="J352" t="s">
        <v>50</v>
      </c>
      <c r="K352" t="s">
        <v>43</v>
      </c>
      <c r="L352">
        <v>3</v>
      </c>
      <c r="M352" t="s">
        <v>39</v>
      </c>
    </row>
    <row r="353" spans="1:13" x14ac:dyDescent="0.35">
      <c r="A353" t="s">
        <v>410</v>
      </c>
      <c r="B353" t="s">
        <v>79</v>
      </c>
      <c r="C353" t="s">
        <v>38</v>
      </c>
      <c r="D353" t="s">
        <v>61</v>
      </c>
      <c r="E353">
        <v>26370</v>
      </c>
      <c r="F353">
        <v>24835</v>
      </c>
      <c r="G353" s="16" t="s">
        <v>17</v>
      </c>
      <c r="H353" s="3">
        <v>45429</v>
      </c>
      <c r="I353" s="3">
        <v>45431</v>
      </c>
      <c r="J353" t="s">
        <v>18</v>
      </c>
      <c r="K353" t="s">
        <v>43</v>
      </c>
      <c r="L353">
        <v>2</v>
      </c>
      <c r="M353" t="s">
        <v>31</v>
      </c>
    </row>
    <row r="354" spans="1:13" x14ac:dyDescent="0.35">
      <c r="A354" t="s">
        <v>411</v>
      </c>
      <c r="B354" t="s">
        <v>22</v>
      </c>
      <c r="C354" t="s">
        <v>38</v>
      </c>
      <c r="D354" t="s">
        <v>70</v>
      </c>
      <c r="E354">
        <v>19232</v>
      </c>
      <c r="F354">
        <v>0</v>
      </c>
      <c r="G354" s="16" t="s">
        <v>29</v>
      </c>
      <c r="H354" s="3">
        <v>45613</v>
      </c>
      <c r="I354" s="3"/>
      <c r="J354" t="s">
        <v>18</v>
      </c>
      <c r="K354" t="s">
        <v>35</v>
      </c>
      <c r="M354" t="s">
        <v>48</v>
      </c>
    </row>
    <row r="355" spans="1:13" x14ac:dyDescent="0.35">
      <c r="A355" t="s">
        <v>412</v>
      </c>
      <c r="B355" t="s">
        <v>72</v>
      </c>
      <c r="C355" t="s">
        <v>38</v>
      </c>
      <c r="D355" t="s">
        <v>23</v>
      </c>
      <c r="E355">
        <v>34742</v>
      </c>
      <c r="F355">
        <v>0</v>
      </c>
      <c r="G355" s="16" t="s">
        <v>29</v>
      </c>
      <c r="H355" s="3">
        <v>45377</v>
      </c>
      <c r="I355" s="3"/>
      <c r="J355" t="s">
        <v>50</v>
      </c>
      <c r="K355" t="s">
        <v>47</v>
      </c>
      <c r="M355" t="s">
        <v>67</v>
      </c>
    </row>
    <row r="356" spans="1:13" x14ac:dyDescent="0.35">
      <c r="A356" t="s">
        <v>413</v>
      </c>
      <c r="B356" t="s">
        <v>96</v>
      </c>
      <c r="C356" t="s">
        <v>15</v>
      </c>
      <c r="D356" t="s">
        <v>70</v>
      </c>
      <c r="E356">
        <v>16968</v>
      </c>
      <c r="F356">
        <v>0</v>
      </c>
      <c r="G356" s="16" t="s">
        <v>29</v>
      </c>
      <c r="H356" s="3">
        <v>45293</v>
      </c>
      <c r="I356" s="3"/>
      <c r="J356" t="s">
        <v>18</v>
      </c>
      <c r="K356" t="s">
        <v>30</v>
      </c>
      <c r="M356" t="s">
        <v>39</v>
      </c>
    </row>
    <row r="357" spans="1:13" x14ac:dyDescent="0.35">
      <c r="A357" t="s">
        <v>414</v>
      </c>
      <c r="B357" t="s">
        <v>60</v>
      </c>
      <c r="C357" t="s">
        <v>46</v>
      </c>
      <c r="D357" t="s">
        <v>23</v>
      </c>
      <c r="E357">
        <v>32917</v>
      </c>
      <c r="F357">
        <v>32133</v>
      </c>
      <c r="G357" s="16" t="s">
        <v>17</v>
      </c>
      <c r="H357" s="3">
        <v>45368</v>
      </c>
      <c r="I357" s="3">
        <v>45371</v>
      </c>
      <c r="J357" t="s">
        <v>18</v>
      </c>
      <c r="K357" t="s">
        <v>19</v>
      </c>
      <c r="L357">
        <v>3</v>
      </c>
      <c r="M357" t="s">
        <v>67</v>
      </c>
    </row>
    <row r="358" spans="1:13" x14ac:dyDescent="0.35">
      <c r="A358" t="s">
        <v>415</v>
      </c>
      <c r="B358" t="s">
        <v>22</v>
      </c>
      <c r="C358" t="s">
        <v>46</v>
      </c>
      <c r="D358" t="s">
        <v>34</v>
      </c>
      <c r="E358">
        <v>18270</v>
      </c>
      <c r="F358">
        <v>16395</v>
      </c>
      <c r="G358" s="16" t="s">
        <v>17</v>
      </c>
      <c r="H358" s="3">
        <v>45455</v>
      </c>
      <c r="I358" s="3">
        <v>45460</v>
      </c>
      <c r="J358" t="s">
        <v>18</v>
      </c>
      <c r="K358" t="s">
        <v>19</v>
      </c>
      <c r="L358">
        <v>5</v>
      </c>
      <c r="M358" t="s">
        <v>36</v>
      </c>
    </row>
    <row r="359" spans="1:13" x14ac:dyDescent="0.35">
      <c r="A359" t="s">
        <v>416</v>
      </c>
      <c r="B359" t="s">
        <v>41</v>
      </c>
      <c r="C359" t="s">
        <v>15</v>
      </c>
      <c r="D359" t="s">
        <v>23</v>
      </c>
      <c r="E359">
        <v>13753</v>
      </c>
      <c r="F359">
        <v>12106</v>
      </c>
      <c r="G359" s="16" t="s">
        <v>17</v>
      </c>
      <c r="H359" s="3">
        <v>45556</v>
      </c>
      <c r="I359" s="3">
        <v>45557</v>
      </c>
      <c r="J359" t="s">
        <v>50</v>
      </c>
      <c r="K359" t="s">
        <v>47</v>
      </c>
      <c r="L359">
        <v>1</v>
      </c>
      <c r="M359" t="s">
        <v>24</v>
      </c>
    </row>
    <row r="360" spans="1:13" x14ac:dyDescent="0.35">
      <c r="A360" t="s">
        <v>417</v>
      </c>
      <c r="B360" t="s">
        <v>72</v>
      </c>
      <c r="C360" t="s">
        <v>38</v>
      </c>
      <c r="D360" t="s">
        <v>16</v>
      </c>
      <c r="E360">
        <v>23449</v>
      </c>
      <c r="F360">
        <v>22317</v>
      </c>
      <c r="G360" s="16" t="s">
        <v>17</v>
      </c>
      <c r="H360" s="3">
        <v>45525</v>
      </c>
      <c r="I360" s="3">
        <v>45526</v>
      </c>
      <c r="J360" t="s">
        <v>50</v>
      </c>
      <c r="K360" t="s">
        <v>47</v>
      </c>
      <c r="L360">
        <v>1</v>
      </c>
      <c r="M360" t="s">
        <v>44</v>
      </c>
    </row>
    <row r="361" spans="1:13" x14ac:dyDescent="0.35">
      <c r="A361" t="s">
        <v>418</v>
      </c>
      <c r="B361" t="s">
        <v>96</v>
      </c>
      <c r="C361" t="s">
        <v>38</v>
      </c>
      <c r="D361" t="s">
        <v>28</v>
      </c>
      <c r="E361">
        <v>32403</v>
      </c>
      <c r="F361">
        <v>31192</v>
      </c>
      <c r="G361" s="16" t="s">
        <v>17</v>
      </c>
      <c r="H361" s="3">
        <v>45544</v>
      </c>
      <c r="I361" s="3">
        <v>45548</v>
      </c>
      <c r="J361" t="s">
        <v>18</v>
      </c>
      <c r="K361" t="s">
        <v>47</v>
      </c>
      <c r="L361">
        <v>4</v>
      </c>
      <c r="M361" t="s">
        <v>24</v>
      </c>
    </row>
    <row r="362" spans="1:13" x14ac:dyDescent="0.35">
      <c r="A362" t="s">
        <v>419</v>
      </c>
      <c r="B362" t="s">
        <v>60</v>
      </c>
      <c r="C362" t="s">
        <v>27</v>
      </c>
      <c r="D362" t="s">
        <v>23</v>
      </c>
      <c r="E362">
        <v>17269</v>
      </c>
      <c r="F362">
        <v>0</v>
      </c>
      <c r="G362" s="16" t="s">
        <v>29</v>
      </c>
      <c r="H362" s="3">
        <v>45469</v>
      </c>
      <c r="I362" s="3"/>
      <c r="J362" t="s">
        <v>18</v>
      </c>
      <c r="K362" t="s">
        <v>43</v>
      </c>
      <c r="M362" t="s">
        <v>36</v>
      </c>
    </row>
    <row r="363" spans="1:13" x14ac:dyDescent="0.35">
      <c r="A363" t="s">
        <v>420</v>
      </c>
      <c r="B363" t="s">
        <v>60</v>
      </c>
      <c r="C363" t="s">
        <v>27</v>
      </c>
      <c r="D363" t="s">
        <v>16</v>
      </c>
      <c r="E363">
        <v>8812</v>
      </c>
      <c r="F363">
        <v>7727</v>
      </c>
      <c r="G363" s="16" t="s">
        <v>17</v>
      </c>
      <c r="H363" s="3">
        <v>45413</v>
      </c>
      <c r="I363" s="3">
        <v>45420</v>
      </c>
      <c r="J363" t="s">
        <v>50</v>
      </c>
      <c r="K363" t="s">
        <v>47</v>
      </c>
      <c r="L363">
        <v>7</v>
      </c>
      <c r="M363" t="s">
        <v>31</v>
      </c>
    </row>
    <row r="364" spans="1:13" x14ac:dyDescent="0.35">
      <c r="A364" t="s">
        <v>421</v>
      </c>
      <c r="B364" t="s">
        <v>33</v>
      </c>
      <c r="C364" t="s">
        <v>38</v>
      </c>
      <c r="D364" t="s">
        <v>70</v>
      </c>
      <c r="E364">
        <v>4877</v>
      </c>
      <c r="F364">
        <v>3040</v>
      </c>
      <c r="G364" s="16" t="s">
        <v>17</v>
      </c>
      <c r="H364" s="3">
        <v>45558</v>
      </c>
      <c r="I364" s="3">
        <v>45565</v>
      </c>
      <c r="J364" t="s">
        <v>50</v>
      </c>
      <c r="K364" t="s">
        <v>35</v>
      </c>
      <c r="L364">
        <v>7</v>
      </c>
      <c r="M364" t="s">
        <v>24</v>
      </c>
    </row>
    <row r="365" spans="1:13" x14ac:dyDescent="0.35">
      <c r="A365" t="s">
        <v>422</v>
      </c>
      <c r="B365" t="s">
        <v>14</v>
      </c>
      <c r="C365" t="s">
        <v>15</v>
      </c>
      <c r="D365" t="s">
        <v>61</v>
      </c>
      <c r="E365">
        <v>43760</v>
      </c>
      <c r="F365">
        <v>43607</v>
      </c>
      <c r="G365" s="16" t="s">
        <v>17</v>
      </c>
      <c r="H365" s="3">
        <v>45595</v>
      </c>
      <c r="I365" s="3">
        <v>45605</v>
      </c>
      <c r="J365" t="s">
        <v>18</v>
      </c>
      <c r="K365" t="s">
        <v>35</v>
      </c>
      <c r="L365">
        <v>10</v>
      </c>
      <c r="M365" t="s">
        <v>76</v>
      </c>
    </row>
    <row r="366" spans="1:13" x14ac:dyDescent="0.35">
      <c r="A366" t="s">
        <v>423</v>
      </c>
      <c r="B366" t="s">
        <v>33</v>
      </c>
      <c r="C366" t="s">
        <v>46</v>
      </c>
      <c r="D366" t="s">
        <v>16</v>
      </c>
      <c r="E366">
        <v>19104</v>
      </c>
      <c r="F366">
        <v>17208</v>
      </c>
      <c r="G366" s="16" t="s">
        <v>17</v>
      </c>
      <c r="H366" s="3">
        <v>45493</v>
      </c>
      <c r="I366" s="3">
        <v>45499</v>
      </c>
      <c r="J366" t="s">
        <v>50</v>
      </c>
      <c r="K366" t="s">
        <v>35</v>
      </c>
      <c r="L366">
        <v>6</v>
      </c>
      <c r="M366" t="s">
        <v>85</v>
      </c>
    </row>
    <row r="367" spans="1:13" x14ac:dyDescent="0.35">
      <c r="A367" t="s">
        <v>424</v>
      </c>
      <c r="B367" t="s">
        <v>96</v>
      </c>
      <c r="C367" t="s">
        <v>46</v>
      </c>
      <c r="D367" t="s">
        <v>70</v>
      </c>
      <c r="E367">
        <v>15284</v>
      </c>
      <c r="F367">
        <v>13687</v>
      </c>
      <c r="G367" s="16" t="s">
        <v>17</v>
      </c>
      <c r="H367" s="3">
        <v>45591</v>
      </c>
      <c r="I367" s="3">
        <v>45593</v>
      </c>
      <c r="J367" t="s">
        <v>18</v>
      </c>
      <c r="K367" t="s">
        <v>47</v>
      </c>
      <c r="L367">
        <v>2</v>
      </c>
      <c r="M367" t="s">
        <v>76</v>
      </c>
    </row>
    <row r="368" spans="1:13" x14ac:dyDescent="0.35">
      <c r="A368" t="s">
        <v>425</v>
      </c>
      <c r="B368" t="s">
        <v>33</v>
      </c>
      <c r="C368" t="s">
        <v>64</v>
      </c>
      <c r="D368" t="s">
        <v>55</v>
      </c>
      <c r="E368">
        <v>22580</v>
      </c>
      <c r="F368">
        <v>22333</v>
      </c>
      <c r="G368" s="16" t="s">
        <v>17</v>
      </c>
      <c r="H368" s="3">
        <v>45566</v>
      </c>
      <c r="I368" s="3">
        <v>45572</v>
      </c>
      <c r="J368" t="s">
        <v>18</v>
      </c>
      <c r="K368" t="s">
        <v>35</v>
      </c>
      <c r="L368">
        <v>6</v>
      </c>
      <c r="M368" t="s">
        <v>76</v>
      </c>
    </row>
    <row r="369" spans="1:13" x14ac:dyDescent="0.35">
      <c r="A369" t="s">
        <v>426</v>
      </c>
      <c r="B369" t="s">
        <v>96</v>
      </c>
      <c r="C369" t="s">
        <v>64</v>
      </c>
      <c r="D369" t="s">
        <v>16</v>
      </c>
      <c r="E369">
        <v>9858</v>
      </c>
      <c r="F369">
        <v>9536</v>
      </c>
      <c r="G369" s="16" t="s">
        <v>17</v>
      </c>
      <c r="H369" s="3">
        <v>45643</v>
      </c>
      <c r="I369" s="3">
        <v>45648</v>
      </c>
      <c r="J369" t="s">
        <v>18</v>
      </c>
      <c r="K369" t="s">
        <v>47</v>
      </c>
      <c r="L369">
        <v>5</v>
      </c>
      <c r="M369" t="s">
        <v>62</v>
      </c>
    </row>
    <row r="370" spans="1:13" x14ac:dyDescent="0.35">
      <c r="A370" t="s">
        <v>427</v>
      </c>
      <c r="B370" t="s">
        <v>41</v>
      </c>
      <c r="C370" t="s">
        <v>73</v>
      </c>
      <c r="D370" t="s">
        <v>70</v>
      </c>
      <c r="E370">
        <v>48606</v>
      </c>
      <c r="F370">
        <v>46623</v>
      </c>
      <c r="G370" s="16" t="s">
        <v>17</v>
      </c>
      <c r="H370" s="3">
        <v>45474</v>
      </c>
      <c r="I370" s="3">
        <v>45481</v>
      </c>
      <c r="J370" t="s">
        <v>18</v>
      </c>
      <c r="K370" t="s">
        <v>56</v>
      </c>
      <c r="L370">
        <v>7</v>
      </c>
      <c r="M370" t="s">
        <v>85</v>
      </c>
    </row>
    <row r="371" spans="1:13" x14ac:dyDescent="0.35">
      <c r="A371" t="s">
        <v>428</v>
      </c>
      <c r="B371" t="s">
        <v>96</v>
      </c>
      <c r="C371" t="s">
        <v>38</v>
      </c>
      <c r="D371" t="s">
        <v>61</v>
      </c>
      <c r="E371">
        <v>4036</v>
      </c>
      <c r="F371">
        <v>2286</v>
      </c>
      <c r="G371" s="16" t="s">
        <v>17</v>
      </c>
      <c r="H371" s="3">
        <v>45523</v>
      </c>
      <c r="I371" s="3">
        <v>45532</v>
      </c>
      <c r="J371" t="s">
        <v>18</v>
      </c>
      <c r="K371" t="s">
        <v>47</v>
      </c>
      <c r="L371">
        <v>9</v>
      </c>
      <c r="M371" t="s">
        <v>44</v>
      </c>
    </row>
    <row r="372" spans="1:13" x14ac:dyDescent="0.35">
      <c r="A372" t="s">
        <v>429</v>
      </c>
      <c r="B372" t="s">
        <v>72</v>
      </c>
      <c r="C372" t="s">
        <v>15</v>
      </c>
      <c r="D372" t="s">
        <v>61</v>
      </c>
      <c r="E372">
        <v>9959</v>
      </c>
      <c r="F372">
        <v>9833</v>
      </c>
      <c r="G372" s="16" t="s">
        <v>17</v>
      </c>
      <c r="H372" s="3">
        <v>45405</v>
      </c>
      <c r="I372" s="3">
        <v>45408</v>
      </c>
      <c r="J372" t="s">
        <v>18</v>
      </c>
      <c r="K372" t="s">
        <v>30</v>
      </c>
      <c r="L372">
        <v>3</v>
      </c>
      <c r="M372" t="s">
        <v>51</v>
      </c>
    </row>
    <row r="373" spans="1:13" x14ac:dyDescent="0.35">
      <c r="A373" t="s">
        <v>430</v>
      </c>
      <c r="B373" t="s">
        <v>22</v>
      </c>
      <c r="C373" t="s">
        <v>38</v>
      </c>
      <c r="D373" t="s">
        <v>70</v>
      </c>
      <c r="E373">
        <v>40163</v>
      </c>
      <c r="F373">
        <v>0</v>
      </c>
      <c r="G373" s="16" t="s">
        <v>29</v>
      </c>
      <c r="H373" s="3">
        <v>45424</v>
      </c>
      <c r="I373" s="3"/>
      <c r="J373" t="s">
        <v>18</v>
      </c>
      <c r="K373" t="s">
        <v>47</v>
      </c>
      <c r="M373" t="s">
        <v>31</v>
      </c>
    </row>
    <row r="374" spans="1:13" x14ac:dyDescent="0.35">
      <c r="A374" t="s">
        <v>431</v>
      </c>
      <c r="B374" t="s">
        <v>14</v>
      </c>
      <c r="C374" t="s">
        <v>46</v>
      </c>
      <c r="D374" t="s">
        <v>55</v>
      </c>
      <c r="E374">
        <v>10440</v>
      </c>
      <c r="F374">
        <v>8587</v>
      </c>
      <c r="G374" s="16" t="s">
        <v>17</v>
      </c>
      <c r="H374" s="3">
        <v>45461</v>
      </c>
      <c r="I374" s="3">
        <v>45463</v>
      </c>
      <c r="J374" t="s">
        <v>18</v>
      </c>
      <c r="K374" t="s">
        <v>35</v>
      </c>
      <c r="L374">
        <v>2</v>
      </c>
      <c r="M374" t="s">
        <v>36</v>
      </c>
    </row>
    <row r="375" spans="1:13" x14ac:dyDescent="0.35">
      <c r="A375" t="s">
        <v>432</v>
      </c>
      <c r="B375" t="s">
        <v>60</v>
      </c>
      <c r="C375" t="s">
        <v>73</v>
      </c>
      <c r="D375" t="s">
        <v>58</v>
      </c>
      <c r="E375">
        <v>49476</v>
      </c>
      <c r="F375">
        <v>48460</v>
      </c>
      <c r="G375" s="16" t="s">
        <v>17</v>
      </c>
      <c r="H375" s="3">
        <v>45307</v>
      </c>
      <c r="I375" s="3">
        <v>45314</v>
      </c>
      <c r="J375" t="s">
        <v>50</v>
      </c>
      <c r="K375" t="s">
        <v>47</v>
      </c>
      <c r="L375">
        <v>7</v>
      </c>
      <c r="M375" t="s">
        <v>39</v>
      </c>
    </row>
    <row r="376" spans="1:13" x14ac:dyDescent="0.35">
      <c r="A376" t="s">
        <v>433</v>
      </c>
      <c r="B376" t="s">
        <v>41</v>
      </c>
      <c r="C376" t="s">
        <v>46</v>
      </c>
      <c r="D376" t="s">
        <v>61</v>
      </c>
      <c r="E376">
        <v>20021</v>
      </c>
      <c r="F376">
        <v>19108</v>
      </c>
      <c r="G376" s="16" t="s">
        <v>17</v>
      </c>
      <c r="H376" s="3">
        <v>45368</v>
      </c>
      <c r="I376" s="3">
        <v>45369</v>
      </c>
      <c r="J376" t="s">
        <v>18</v>
      </c>
      <c r="K376" t="s">
        <v>56</v>
      </c>
      <c r="L376">
        <v>1</v>
      </c>
      <c r="M376" t="s">
        <v>67</v>
      </c>
    </row>
    <row r="377" spans="1:13" x14ac:dyDescent="0.35">
      <c r="A377" t="s">
        <v>434</v>
      </c>
      <c r="B377" t="s">
        <v>96</v>
      </c>
      <c r="C377" t="s">
        <v>64</v>
      </c>
      <c r="D377" t="s">
        <v>58</v>
      </c>
      <c r="E377">
        <v>38089</v>
      </c>
      <c r="F377">
        <v>37965</v>
      </c>
      <c r="G377" s="16" t="s">
        <v>17</v>
      </c>
      <c r="H377" s="3">
        <v>45336</v>
      </c>
      <c r="I377" s="3">
        <v>45341</v>
      </c>
      <c r="J377" t="s">
        <v>50</v>
      </c>
      <c r="K377" t="s">
        <v>47</v>
      </c>
      <c r="L377">
        <v>5</v>
      </c>
      <c r="M377" t="s">
        <v>20</v>
      </c>
    </row>
    <row r="378" spans="1:13" x14ac:dyDescent="0.35">
      <c r="A378" t="s">
        <v>435</v>
      </c>
      <c r="B378" t="s">
        <v>22</v>
      </c>
      <c r="C378" t="s">
        <v>46</v>
      </c>
      <c r="D378" t="s">
        <v>28</v>
      </c>
      <c r="E378">
        <v>43337</v>
      </c>
      <c r="F378">
        <v>0</v>
      </c>
      <c r="G378" s="16" t="s">
        <v>29</v>
      </c>
      <c r="H378" s="3">
        <v>45301</v>
      </c>
      <c r="I378" s="3"/>
      <c r="J378" t="s">
        <v>50</v>
      </c>
      <c r="K378" t="s">
        <v>30</v>
      </c>
      <c r="M378" t="s">
        <v>39</v>
      </c>
    </row>
    <row r="379" spans="1:13" x14ac:dyDescent="0.35">
      <c r="A379" t="s">
        <v>436</v>
      </c>
      <c r="B379" t="s">
        <v>41</v>
      </c>
      <c r="C379" t="s">
        <v>64</v>
      </c>
      <c r="D379" t="s">
        <v>55</v>
      </c>
      <c r="E379">
        <v>24546</v>
      </c>
      <c r="F379">
        <v>0</v>
      </c>
      <c r="G379" s="16" t="s">
        <v>29</v>
      </c>
      <c r="H379" s="3">
        <v>45549</v>
      </c>
      <c r="I379" s="3"/>
      <c r="J379" t="s">
        <v>50</v>
      </c>
      <c r="K379" t="s">
        <v>35</v>
      </c>
      <c r="M379" t="s">
        <v>24</v>
      </c>
    </row>
    <row r="380" spans="1:13" x14ac:dyDescent="0.35">
      <c r="A380" t="s">
        <v>437</v>
      </c>
      <c r="B380" t="s">
        <v>96</v>
      </c>
      <c r="C380" t="s">
        <v>73</v>
      </c>
      <c r="D380" t="s">
        <v>23</v>
      </c>
      <c r="E380">
        <v>22897</v>
      </c>
      <c r="F380">
        <v>0</v>
      </c>
      <c r="G380" s="16" t="s">
        <v>29</v>
      </c>
      <c r="H380" s="3">
        <v>45404</v>
      </c>
      <c r="I380" s="3"/>
      <c r="J380" t="s">
        <v>18</v>
      </c>
      <c r="K380" t="s">
        <v>30</v>
      </c>
      <c r="M380" t="s">
        <v>51</v>
      </c>
    </row>
    <row r="381" spans="1:13" x14ac:dyDescent="0.35">
      <c r="A381" t="s">
        <v>438</v>
      </c>
      <c r="B381" t="s">
        <v>96</v>
      </c>
      <c r="C381" t="s">
        <v>15</v>
      </c>
      <c r="D381" t="s">
        <v>55</v>
      </c>
      <c r="E381">
        <v>36696</v>
      </c>
      <c r="F381">
        <v>35126</v>
      </c>
      <c r="G381" s="16" t="s">
        <v>17</v>
      </c>
      <c r="H381" s="3">
        <v>45591</v>
      </c>
      <c r="I381" s="3">
        <v>45595</v>
      </c>
      <c r="J381" t="s">
        <v>18</v>
      </c>
      <c r="K381" t="s">
        <v>47</v>
      </c>
      <c r="L381">
        <v>4</v>
      </c>
      <c r="M381" t="s">
        <v>76</v>
      </c>
    </row>
    <row r="382" spans="1:13" x14ac:dyDescent="0.35">
      <c r="A382" t="s">
        <v>439</v>
      </c>
      <c r="B382" t="s">
        <v>26</v>
      </c>
      <c r="C382" t="s">
        <v>46</v>
      </c>
      <c r="D382" t="s">
        <v>16</v>
      </c>
      <c r="E382">
        <v>36975</v>
      </c>
      <c r="F382">
        <v>35411</v>
      </c>
      <c r="G382" s="16" t="s">
        <v>17</v>
      </c>
      <c r="H382" s="3">
        <v>45404</v>
      </c>
      <c r="I382" s="3">
        <v>45414</v>
      </c>
      <c r="J382" t="s">
        <v>50</v>
      </c>
      <c r="K382" t="s">
        <v>43</v>
      </c>
      <c r="L382">
        <v>10</v>
      </c>
      <c r="M382" t="s">
        <v>51</v>
      </c>
    </row>
    <row r="383" spans="1:13" x14ac:dyDescent="0.35">
      <c r="A383" t="s">
        <v>440</v>
      </c>
      <c r="B383" t="s">
        <v>33</v>
      </c>
      <c r="C383" t="s">
        <v>73</v>
      </c>
      <c r="D383" t="s">
        <v>28</v>
      </c>
      <c r="E383">
        <v>40831</v>
      </c>
      <c r="F383">
        <v>39180</v>
      </c>
      <c r="G383" s="16" t="s">
        <v>17</v>
      </c>
      <c r="H383" s="3">
        <v>45649</v>
      </c>
      <c r="I383" s="3">
        <v>45655</v>
      </c>
      <c r="J383" t="s">
        <v>18</v>
      </c>
      <c r="K383" t="s">
        <v>56</v>
      </c>
      <c r="L383">
        <v>6</v>
      </c>
      <c r="M383" t="s">
        <v>62</v>
      </c>
    </row>
    <row r="384" spans="1:13" x14ac:dyDescent="0.35">
      <c r="A384" t="s">
        <v>441</v>
      </c>
      <c r="B384" t="s">
        <v>41</v>
      </c>
      <c r="C384" t="s">
        <v>73</v>
      </c>
      <c r="D384" t="s">
        <v>28</v>
      </c>
      <c r="E384">
        <v>34258</v>
      </c>
      <c r="F384">
        <v>0</v>
      </c>
      <c r="G384" s="16" t="s">
        <v>29</v>
      </c>
      <c r="H384" s="3">
        <v>45450</v>
      </c>
      <c r="I384" s="3"/>
      <c r="J384" t="s">
        <v>18</v>
      </c>
      <c r="K384" t="s">
        <v>35</v>
      </c>
      <c r="M384" t="s">
        <v>36</v>
      </c>
    </row>
    <row r="385" spans="1:13" x14ac:dyDescent="0.35">
      <c r="A385" t="s">
        <v>442</v>
      </c>
      <c r="B385" t="s">
        <v>60</v>
      </c>
      <c r="C385" t="s">
        <v>15</v>
      </c>
      <c r="D385" t="s">
        <v>23</v>
      </c>
      <c r="E385">
        <v>17245</v>
      </c>
      <c r="F385">
        <v>0</v>
      </c>
      <c r="G385" s="16" t="s">
        <v>29</v>
      </c>
      <c r="H385" s="3">
        <v>45404</v>
      </c>
      <c r="I385" s="3"/>
      <c r="J385" t="s">
        <v>18</v>
      </c>
      <c r="K385" t="s">
        <v>19</v>
      </c>
      <c r="M385" t="s">
        <v>51</v>
      </c>
    </row>
    <row r="386" spans="1:13" x14ac:dyDescent="0.35">
      <c r="A386" t="s">
        <v>443</v>
      </c>
      <c r="B386" t="s">
        <v>72</v>
      </c>
      <c r="C386" t="s">
        <v>15</v>
      </c>
      <c r="D386" t="s">
        <v>34</v>
      </c>
      <c r="E386">
        <v>42247</v>
      </c>
      <c r="F386">
        <v>40596</v>
      </c>
      <c r="G386" s="16" t="s">
        <v>17</v>
      </c>
      <c r="H386" s="3">
        <v>45358</v>
      </c>
      <c r="I386" s="3">
        <v>45364</v>
      </c>
      <c r="J386" t="s">
        <v>18</v>
      </c>
      <c r="K386" t="s">
        <v>30</v>
      </c>
      <c r="L386">
        <v>6</v>
      </c>
      <c r="M386" t="s">
        <v>67</v>
      </c>
    </row>
    <row r="387" spans="1:13" x14ac:dyDescent="0.35">
      <c r="A387" t="s">
        <v>444</v>
      </c>
      <c r="B387" t="s">
        <v>41</v>
      </c>
      <c r="C387" t="s">
        <v>15</v>
      </c>
      <c r="D387" t="s">
        <v>23</v>
      </c>
      <c r="E387">
        <v>11680</v>
      </c>
      <c r="F387">
        <v>0</v>
      </c>
      <c r="G387" s="16" t="s">
        <v>29</v>
      </c>
      <c r="H387" s="3">
        <v>45652</v>
      </c>
      <c r="I387" s="3"/>
      <c r="J387" t="s">
        <v>18</v>
      </c>
      <c r="K387" t="s">
        <v>30</v>
      </c>
      <c r="M387" t="s">
        <v>62</v>
      </c>
    </row>
    <row r="388" spans="1:13" x14ac:dyDescent="0.35">
      <c r="A388" t="s">
        <v>445</v>
      </c>
      <c r="B388" t="s">
        <v>14</v>
      </c>
      <c r="C388" t="s">
        <v>38</v>
      </c>
      <c r="D388" t="s">
        <v>70</v>
      </c>
      <c r="E388">
        <v>26483</v>
      </c>
      <c r="F388">
        <v>25283</v>
      </c>
      <c r="G388" s="16" t="s">
        <v>17</v>
      </c>
      <c r="H388" s="3">
        <v>45343</v>
      </c>
      <c r="I388" s="3">
        <v>45349</v>
      </c>
      <c r="J388" t="s">
        <v>50</v>
      </c>
      <c r="K388" t="s">
        <v>43</v>
      </c>
      <c r="L388">
        <v>6</v>
      </c>
      <c r="M388" t="s">
        <v>20</v>
      </c>
    </row>
    <row r="389" spans="1:13" x14ac:dyDescent="0.35">
      <c r="A389" t="s">
        <v>446</v>
      </c>
      <c r="B389" t="s">
        <v>33</v>
      </c>
      <c r="C389" t="s">
        <v>73</v>
      </c>
      <c r="D389" t="s">
        <v>58</v>
      </c>
      <c r="E389">
        <v>43894</v>
      </c>
      <c r="F389">
        <v>42565</v>
      </c>
      <c r="G389" s="16" t="s">
        <v>17</v>
      </c>
      <c r="H389" s="3">
        <v>45454</v>
      </c>
      <c r="I389" s="3">
        <v>45457</v>
      </c>
      <c r="J389" t="s">
        <v>50</v>
      </c>
      <c r="K389" t="s">
        <v>47</v>
      </c>
      <c r="L389">
        <v>3</v>
      </c>
      <c r="M389" t="s">
        <v>36</v>
      </c>
    </row>
    <row r="390" spans="1:13" x14ac:dyDescent="0.35">
      <c r="A390" t="s">
        <v>447</v>
      </c>
      <c r="B390" t="s">
        <v>53</v>
      </c>
      <c r="C390" t="s">
        <v>73</v>
      </c>
      <c r="D390" t="s">
        <v>58</v>
      </c>
      <c r="E390">
        <v>22107</v>
      </c>
      <c r="F390">
        <v>21847</v>
      </c>
      <c r="G390" s="16" t="s">
        <v>17</v>
      </c>
      <c r="H390" s="3">
        <v>45382</v>
      </c>
      <c r="I390" s="3">
        <v>45383</v>
      </c>
      <c r="J390" t="s">
        <v>50</v>
      </c>
      <c r="K390" t="s">
        <v>30</v>
      </c>
      <c r="L390">
        <v>1</v>
      </c>
      <c r="M390" t="s">
        <v>67</v>
      </c>
    </row>
    <row r="391" spans="1:13" x14ac:dyDescent="0.35">
      <c r="A391" t="s">
        <v>448</v>
      </c>
      <c r="B391" t="s">
        <v>53</v>
      </c>
      <c r="C391" t="s">
        <v>15</v>
      </c>
      <c r="D391" t="s">
        <v>61</v>
      </c>
      <c r="E391">
        <v>41478</v>
      </c>
      <c r="F391">
        <v>39592</v>
      </c>
      <c r="G391" s="16" t="s">
        <v>17</v>
      </c>
      <c r="H391" s="3">
        <v>45605</v>
      </c>
      <c r="I391" s="3">
        <v>45609</v>
      </c>
      <c r="J391" t="s">
        <v>18</v>
      </c>
      <c r="K391" t="s">
        <v>35</v>
      </c>
      <c r="L391">
        <v>4</v>
      </c>
      <c r="M391" t="s">
        <v>48</v>
      </c>
    </row>
    <row r="392" spans="1:13" x14ac:dyDescent="0.35">
      <c r="A392" t="s">
        <v>449</v>
      </c>
      <c r="B392" t="s">
        <v>33</v>
      </c>
      <c r="C392" t="s">
        <v>38</v>
      </c>
      <c r="D392" t="s">
        <v>70</v>
      </c>
      <c r="E392">
        <v>17597</v>
      </c>
      <c r="F392">
        <v>16943</v>
      </c>
      <c r="G392" s="16" t="s">
        <v>17</v>
      </c>
      <c r="H392" s="3">
        <v>45377</v>
      </c>
      <c r="I392" s="3">
        <v>45379</v>
      </c>
      <c r="J392" t="s">
        <v>50</v>
      </c>
      <c r="K392" t="s">
        <v>35</v>
      </c>
      <c r="L392">
        <v>2</v>
      </c>
      <c r="M392" t="s">
        <v>67</v>
      </c>
    </row>
    <row r="393" spans="1:13" x14ac:dyDescent="0.35">
      <c r="A393" t="s">
        <v>450</v>
      </c>
      <c r="B393" t="s">
        <v>60</v>
      </c>
      <c r="C393" t="s">
        <v>38</v>
      </c>
      <c r="D393" t="s">
        <v>28</v>
      </c>
      <c r="E393">
        <v>18353</v>
      </c>
      <c r="F393">
        <v>17636</v>
      </c>
      <c r="G393" s="16" t="s">
        <v>17</v>
      </c>
      <c r="H393" s="3">
        <v>45423</v>
      </c>
      <c r="I393" s="3">
        <v>45425</v>
      </c>
      <c r="J393" t="s">
        <v>18</v>
      </c>
      <c r="K393" t="s">
        <v>47</v>
      </c>
      <c r="L393">
        <v>2</v>
      </c>
      <c r="M393" t="s">
        <v>31</v>
      </c>
    </row>
    <row r="394" spans="1:13" x14ac:dyDescent="0.35">
      <c r="A394" t="s">
        <v>451</v>
      </c>
      <c r="B394" t="s">
        <v>22</v>
      </c>
      <c r="C394" t="s">
        <v>64</v>
      </c>
      <c r="D394" t="s">
        <v>58</v>
      </c>
      <c r="E394">
        <v>12901</v>
      </c>
      <c r="F394">
        <v>11892</v>
      </c>
      <c r="G394" s="16" t="s">
        <v>17</v>
      </c>
      <c r="H394" s="3">
        <v>45485</v>
      </c>
      <c r="I394" s="3">
        <v>45491</v>
      </c>
      <c r="J394" t="s">
        <v>50</v>
      </c>
      <c r="K394" t="s">
        <v>47</v>
      </c>
      <c r="L394">
        <v>6</v>
      </c>
      <c r="M394" t="s">
        <v>85</v>
      </c>
    </row>
    <row r="395" spans="1:13" x14ac:dyDescent="0.35">
      <c r="A395" t="s">
        <v>452</v>
      </c>
      <c r="B395" t="s">
        <v>72</v>
      </c>
      <c r="C395" t="s">
        <v>46</v>
      </c>
      <c r="D395" t="s">
        <v>61</v>
      </c>
      <c r="E395">
        <v>31575</v>
      </c>
      <c r="F395">
        <v>29939</v>
      </c>
      <c r="G395" s="16" t="s">
        <v>17</v>
      </c>
      <c r="H395" s="3">
        <v>45309</v>
      </c>
      <c r="I395" s="3">
        <v>45314</v>
      </c>
      <c r="J395" t="s">
        <v>18</v>
      </c>
      <c r="K395" t="s">
        <v>43</v>
      </c>
      <c r="L395">
        <v>5</v>
      </c>
      <c r="M395" t="s">
        <v>39</v>
      </c>
    </row>
    <row r="396" spans="1:13" x14ac:dyDescent="0.35">
      <c r="A396" t="s">
        <v>453</v>
      </c>
      <c r="B396" t="s">
        <v>96</v>
      </c>
      <c r="C396" t="s">
        <v>15</v>
      </c>
      <c r="D396" t="s">
        <v>70</v>
      </c>
      <c r="E396">
        <v>24400</v>
      </c>
      <c r="F396">
        <v>22582</v>
      </c>
      <c r="G396" s="16" t="s">
        <v>17</v>
      </c>
      <c r="H396" s="3">
        <v>45484</v>
      </c>
      <c r="I396" s="3">
        <v>45487</v>
      </c>
      <c r="J396" t="s">
        <v>18</v>
      </c>
      <c r="K396" t="s">
        <v>19</v>
      </c>
      <c r="L396">
        <v>3</v>
      </c>
      <c r="M396" t="s">
        <v>85</v>
      </c>
    </row>
    <row r="397" spans="1:13" x14ac:dyDescent="0.35">
      <c r="A397" t="s">
        <v>454</v>
      </c>
      <c r="B397" t="s">
        <v>14</v>
      </c>
      <c r="C397" t="s">
        <v>38</v>
      </c>
      <c r="D397" t="s">
        <v>55</v>
      </c>
      <c r="E397">
        <v>48170</v>
      </c>
      <c r="F397">
        <v>47287</v>
      </c>
      <c r="G397" s="16" t="s">
        <v>17</v>
      </c>
      <c r="H397" s="3">
        <v>45626</v>
      </c>
      <c r="I397" s="3">
        <v>45629</v>
      </c>
      <c r="J397" t="s">
        <v>50</v>
      </c>
      <c r="K397" t="s">
        <v>47</v>
      </c>
      <c r="L397">
        <v>3</v>
      </c>
      <c r="M397" t="s">
        <v>48</v>
      </c>
    </row>
    <row r="398" spans="1:13" x14ac:dyDescent="0.35">
      <c r="A398" t="s">
        <v>455</v>
      </c>
      <c r="B398" t="s">
        <v>60</v>
      </c>
      <c r="C398" t="s">
        <v>15</v>
      </c>
      <c r="D398" t="s">
        <v>34</v>
      </c>
      <c r="E398">
        <v>15470</v>
      </c>
      <c r="F398">
        <v>14632</v>
      </c>
      <c r="G398" s="16" t="s">
        <v>17</v>
      </c>
      <c r="H398" s="3">
        <v>45648</v>
      </c>
      <c r="I398" s="3">
        <v>45657</v>
      </c>
      <c r="J398" t="s">
        <v>50</v>
      </c>
      <c r="K398" t="s">
        <v>56</v>
      </c>
      <c r="L398">
        <v>9</v>
      </c>
      <c r="M398" t="s">
        <v>62</v>
      </c>
    </row>
    <row r="399" spans="1:13" x14ac:dyDescent="0.35">
      <c r="A399" t="s">
        <v>456</v>
      </c>
      <c r="B399" t="s">
        <v>96</v>
      </c>
      <c r="C399" t="s">
        <v>38</v>
      </c>
      <c r="D399" t="s">
        <v>28</v>
      </c>
      <c r="E399">
        <v>8285</v>
      </c>
      <c r="F399">
        <v>7481</v>
      </c>
      <c r="G399" s="16" t="s">
        <v>17</v>
      </c>
      <c r="H399" s="3">
        <v>45584</v>
      </c>
      <c r="I399" s="3">
        <v>45593</v>
      </c>
      <c r="J399" t="s">
        <v>50</v>
      </c>
      <c r="K399" t="s">
        <v>47</v>
      </c>
      <c r="L399">
        <v>9</v>
      </c>
      <c r="M399" t="s">
        <v>76</v>
      </c>
    </row>
    <row r="400" spans="1:13" x14ac:dyDescent="0.35">
      <c r="A400" t="s">
        <v>457</v>
      </c>
      <c r="B400" t="s">
        <v>60</v>
      </c>
      <c r="C400" t="s">
        <v>38</v>
      </c>
      <c r="D400" t="s">
        <v>23</v>
      </c>
      <c r="E400">
        <v>30023</v>
      </c>
      <c r="F400">
        <v>29420</v>
      </c>
      <c r="G400" s="16" t="s">
        <v>17</v>
      </c>
      <c r="H400" s="3">
        <v>45630</v>
      </c>
      <c r="I400" s="3">
        <v>45640</v>
      </c>
      <c r="J400" t="s">
        <v>50</v>
      </c>
      <c r="K400" t="s">
        <v>47</v>
      </c>
      <c r="L400">
        <v>10</v>
      </c>
      <c r="M400" t="s">
        <v>62</v>
      </c>
    </row>
    <row r="401" spans="1:13" x14ac:dyDescent="0.35">
      <c r="A401" t="s">
        <v>458</v>
      </c>
      <c r="B401" t="s">
        <v>14</v>
      </c>
      <c r="C401" t="s">
        <v>15</v>
      </c>
      <c r="D401" t="s">
        <v>28</v>
      </c>
      <c r="E401">
        <v>13195</v>
      </c>
      <c r="F401">
        <v>13028</v>
      </c>
      <c r="G401" s="16" t="s">
        <v>17</v>
      </c>
      <c r="H401" s="3">
        <v>45534</v>
      </c>
      <c r="I401" s="3">
        <v>45536</v>
      </c>
      <c r="J401" t="s">
        <v>50</v>
      </c>
      <c r="K401" t="s">
        <v>30</v>
      </c>
      <c r="L401">
        <v>2</v>
      </c>
      <c r="M401" t="s">
        <v>44</v>
      </c>
    </row>
    <row r="402" spans="1:13" x14ac:dyDescent="0.35">
      <c r="A402" t="s">
        <v>459</v>
      </c>
      <c r="B402" t="s">
        <v>22</v>
      </c>
      <c r="C402" t="s">
        <v>64</v>
      </c>
      <c r="D402" t="s">
        <v>55</v>
      </c>
      <c r="E402">
        <v>45321</v>
      </c>
      <c r="F402">
        <v>45135</v>
      </c>
      <c r="G402" s="16" t="s">
        <v>17</v>
      </c>
      <c r="H402" s="3">
        <v>45620</v>
      </c>
      <c r="I402" s="3">
        <v>45629</v>
      </c>
      <c r="J402" t="s">
        <v>50</v>
      </c>
      <c r="K402" t="s">
        <v>47</v>
      </c>
      <c r="L402">
        <v>9</v>
      </c>
      <c r="M402" t="s">
        <v>48</v>
      </c>
    </row>
    <row r="403" spans="1:13" x14ac:dyDescent="0.35">
      <c r="A403" t="s">
        <v>460</v>
      </c>
      <c r="B403" t="s">
        <v>41</v>
      </c>
      <c r="C403" t="s">
        <v>27</v>
      </c>
      <c r="D403" t="s">
        <v>34</v>
      </c>
      <c r="E403">
        <v>14227</v>
      </c>
      <c r="F403">
        <v>14136</v>
      </c>
      <c r="G403" s="16" t="s">
        <v>17</v>
      </c>
      <c r="H403" s="3">
        <v>45426</v>
      </c>
      <c r="I403" s="3">
        <v>45434</v>
      </c>
      <c r="J403" t="s">
        <v>50</v>
      </c>
      <c r="K403" t="s">
        <v>43</v>
      </c>
      <c r="L403">
        <v>8</v>
      </c>
      <c r="M403" t="s">
        <v>31</v>
      </c>
    </row>
    <row r="404" spans="1:13" x14ac:dyDescent="0.35">
      <c r="A404" t="s">
        <v>461</v>
      </c>
      <c r="B404" t="s">
        <v>26</v>
      </c>
      <c r="C404" t="s">
        <v>38</v>
      </c>
      <c r="D404" t="s">
        <v>23</v>
      </c>
      <c r="E404">
        <v>11904</v>
      </c>
      <c r="F404">
        <v>11729</v>
      </c>
      <c r="G404" s="16" t="s">
        <v>17</v>
      </c>
      <c r="H404" s="3">
        <v>45634</v>
      </c>
      <c r="I404" s="3">
        <v>45640</v>
      </c>
      <c r="J404" t="s">
        <v>50</v>
      </c>
      <c r="K404" t="s">
        <v>30</v>
      </c>
      <c r="L404">
        <v>6</v>
      </c>
      <c r="M404" t="s">
        <v>62</v>
      </c>
    </row>
    <row r="405" spans="1:13" x14ac:dyDescent="0.35">
      <c r="A405" t="s">
        <v>462</v>
      </c>
      <c r="B405" t="s">
        <v>53</v>
      </c>
      <c r="C405" t="s">
        <v>46</v>
      </c>
      <c r="D405" t="s">
        <v>23</v>
      </c>
      <c r="E405">
        <v>27369</v>
      </c>
      <c r="F405">
        <v>0</v>
      </c>
      <c r="G405" s="16" t="s">
        <v>29</v>
      </c>
      <c r="H405" s="3">
        <v>45506</v>
      </c>
      <c r="I405" s="3"/>
      <c r="J405" t="s">
        <v>50</v>
      </c>
      <c r="K405" t="s">
        <v>19</v>
      </c>
      <c r="M405" t="s">
        <v>44</v>
      </c>
    </row>
    <row r="406" spans="1:13" x14ac:dyDescent="0.35">
      <c r="A406" t="s">
        <v>463</v>
      </c>
      <c r="B406" t="s">
        <v>26</v>
      </c>
      <c r="C406" t="s">
        <v>64</v>
      </c>
      <c r="D406" t="s">
        <v>16</v>
      </c>
      <c r="E406">
        <v>7174</v>
      </c>
      <c r="F406">
        <v>5326</v>
      </c>
      <c r="G406" s="16" t="s">
        <v>17</v>
      </c>
      <c r="H406" s="3">
        <v>45657</v>
      </c>
      <c r="I406" s="3">
        <v>45658</v>
      </c>
      <c r="J406" t="s">
        <v>18</v>
      </c>
      <c r="K406" t="s">
        <v>47</v>
      </c>
      <c r="L406">
        <v>1</v>
      </c>
      <c r="M406" t="s">
        <v>62</v>
      </c>
    </row>
    <row r="407" spans="1:13" x14ac:dyDescent="0.35">
      <c r="A407" t="s">
        <v>464</v>
      </c>
      <c r="B407" t="s">
        <v>72</v>
      </c>
      <c r="C407" t="s">
        <v>73</v>
      </c>
      <c r="D407" t="s">
        <v>61</v>
      </c>
      <c r="E407">
        <v>15886</v>
      </c>
      <c r="F407">
        <v>15628</v>
      </c>
      <c r="G407" s="16" t="s">
        <v>17</v>
      </c>
      <c r="H407" s="3">
        <v>45313</v>
      </c>
      <c r="I407" s="3">
        <v>45320</v>
      </c>
      <c r="J407" t="s">
        <v>18</v>
      </c>
      <c r="K407" t="s">
        <v>56</v>
      </c>
      <c r="L407">
        <v>7</v>
      </c>
      <c r="M407" t="s">
        <v>39</v>
      </c>
    </row>
    <row r="408" spans="1:13" x14ac:dyDescent="0.35">
      <c r="A408" t="s">
        <v>465</v>
      </c>
      <c r="B408" t="s">
        <v>22</v>
      </c>
      <c r="C408" t="s">
        <v>46</v>
      </c>
      <c r="D408" t="s">
        <v>61</v>
      </c>
      <c r="E408">
        <v>40997</v>
      </c>
      <c r="F408">
        <v>40343</v>
      </c>
      <c r="G408" s="16" t="s">
        <v>17</v>
      </c>
      <c r="H408" s="3">
        <v>45326</v>
      </c>
      <c r="I408" s="3">
        <v>45328</v>
      </c>
      <c r="J408" t="s">
        <v>50</v>
      </c>
      <c r="K408" t="s">
        <v>19</v>
      </c>
      <c r="L408">
        <v>2</v>
      </c>
      <c r="M408" t="s">
        <v>20</v>
      </c>
    </row>
    <row r="409" spans="1:13" x14ac:dyDescent="0.35">
      <c r="A409" t="s">
        <v>466</v>
      </c>
      <c r="B409" t="s">
        <v>22</v>
      </c>
      <c r="C409" t="s">
        <v>38</v>
      </c>
      <c r="D409" t="s">
        <v>16</v>
      </c>
      <c r="E409">
        <v>36058</v>
      </c>
      <c r="F409">
        <v>34180</v>
      </c>
      <c r="G409" s="16" t="s">
        <v>17</v>
      </c>
      <c r="H409" s="3">
        <v>45298</v>
      </c>
      <c r="I409" s="3">
        <v>45308</v>
      </c>
      <c r="J409" t="s">
        <v>50</v>
      </c>
      <c r="K409" t="s">
        <v>47</v>
      </c>
      <c r="L409">
        <v>10</v>
      </c>
      <c r="M409" t="s">
        <v>39</v>
      </c>
    </row>
    <row r="410" spans="1:13" x14ac:dyDescent="0.35">
      <c r="A410" t="s">
        <v>467</v>
      </c>
      <c r="B410" t="s">
        <v>22</v>
      </c>
      <c r="C410" t="s">
        <v>73</v>
      </c>
      <c r="D410" t="s">
        <v>61</v>
      </c>
      <c r="E410">
        <v>39132</v>
      </c>
      <c r="F410">
        <v>0</v>
      </c>
      <c r="G410" s="16" t="s">
        <v>29</v>
      </c>
      <c r="H410" s="3">
        <v>45590</v>
      </c>
      <c r="I410" s="3"/>
      <c r="J410" t="s">
        <v>18</v>
      </c>
      <c r="K410" t="s">
        <v>47</v>
      </c>
      <c r="M410" t="s">
        <v>76</v>
      </c>
    </row>
    <row r="411" spans="1:13" x14ac:dyDescent="0.35">
      <c r="A411" t="s">
        <v>468</v>
      </c>
      <c r="B411" t="s">
        <v>53</v>
      </c>
      <c r="C411" t="s">
        <v>15</v>
      </c>
      <c r="D411" t="s">
        <v>16</v>
      </c>
      <c r="E411">
        <v>37103</v>
      </c>
      <c r="F411">
        <v>35306</v>
      </c>
      <c r="G411" s="16" t="s">
        <v>17</v>
      </c>
      <c r="H411" s="3">
        <v>45502</v>
      </c>
      <c r="I411" s="3">
        <v>45507</v>
      </c>
      <c r="J411" t="s">
        <v>50</v>
      </c>
      <c r="K411" t="s">
        <v>56</v>
      </c>
      <c r="L411">
        <v>5</v>
      </c>
      <c r="M411" t="s">
        <v>85</v>
      </c>
    </row>
    <row r="412" spans="1:13" x14ac:dyDescent="0.35">
      <c r="A412" t="s">
        <v>469</v>
      </c>
      <c r="B412" t="s">
        <v>72</v>
      </c>
      <c r="C412" t="s">
        <v>64</v>
      </c>
      <c r="D412" t="s">
        <v>23</v>
      </c>
      <c r="E412">
        <v>13285</v>
      </c>
      <c r="F412">
        <v>12460</v>
      </c>
      <c r="G412" s="16" t="s">
        <v>17</v>
      </c>
      <c r="H412" s="3">
        <v>45365</v>
      </c>
      <c r="I412" s="3">
        <v>45375</v>
      </c>
      <c r="J412" t="s">
        <v>50</v>
      </c>
      <c r="K412" t="s">
        <v>47</v>
      </c>
      <c r="L412">
        <v>10</v>
      </c>
      <c r="M412" t="s">
        <v>67</v>
      </c>
    </row>
    <row r="413" spans="1:13" x14ac:dyDescent="0.35">
      <c r="A413" t="s">
        <v>470</v>
      </c>
      <c r="B413" t="s">
        <v>22</v>
      </c>
      <c r="C413" t="s">
        <v>38</v>
      </c>
      <c r="D413" t="s">
        <v>28</v>
      </c>
      <c r="E413">
        <v>5230</v>
      </c>
      <c r="F413">
        <v>3345</v>
      </c>
      <c r="G413" s="16" t="s">
        <v>17</v>
      </c>
      <c r="H413" s="3">
        <v>45429</v>
      </c>
      <c r="I413" s="3">
        <v>45435</v>
      </c>
      <c r="J413" t="s">
        <v>18</v>
      </c>
      <c r="K413" t="s">
        <v>43</v>
      </c>
      <c r="L413">
        <v>6</v>
      </c>
      <c r="M413" t="s">
        <v>31</v>
      </c>
    </row>
    <row r="414" spans="1:13" x14ac:dyDescent="0.35">
      <c r="A414" t="s">
        <v>471</v>
      </c>
      <c r="B414" t="s">
        <v>96</v>
      </c>
      <c r="C414" t="s">
        <v>38</v>
      </c>
      <c r="D414" t="s">
        <v>16</v>
      </c>
      <c r="E414">
        <v>34218</v>
      </c>
      <c r="F414">
        <v>32227</v>
      </c>
      <c r="G414" s="16" t="s">
        <v>17</v>
      </c>
      <c r="H414" s="3">
        <v>45408</v>
      </c>
      <c r="I414" s="3">
        <v>45411</v>
      </c>
      <c r="J414" t="s">
        <v>50</v>
      </c>
      <c r="K414" t="s">
        <v>56</v>
      </c>
      <c r="L414">
        <v>3</v>
      </c>
      <c r="M414" t="s">
        <v>51</v>
      </c>
    </row>
    <row r="415" spans="1:13" x14ac:dyDescent="0.35">
      <c r="A415" t="s">
        <v>472</v>
      </c>
      <c r="B415" t="s">
        <v>72</v>
      </c>
      <c r="C415" t="s">
        <v>38</v>
      </c>
      <c r="D415" t="s">
        <v>16</v>
      </c>
      <c r="E415">
        <v>49762</v>
      </c>
      <c r="F415">
        <v>48524</v>
      </c>
      <c r="G415" s="16" t="s">
        <v>17</v>
      </c>
      <c r="H415" s="3">
        <v>45622</v>
      </c>
      <c r="I415" s="3">
        <v>45624</v>
      </c>
      <c r="J415" t="s">
        <v>18</v>
      </c>
      <c r="K415" t="s">
        <v>35</v>
      </c>
      <c r="L415">
        <v>2</v>
      </c>
      <c r="M415" t="s">
        <v>48</v>
      </c>
    </row>
    <row r="416" spans="1:13" x14ac:dyDescent="0.35">
      <c r="A416" t="s">
        <v>473</v>
      </c>
      <c r="B416" t="s">
        <v>26</v>
      </c>
      <c r="C416" t="s">
        <v>27</v>
      </c>
      <c r="D416" t="s">
        <v>55</v>
      </c>
      <c r="E416">
        <v>35849</v>
      </c>
      <c r="F416">
        <v>34168</v>
      </c>
      <c r="G416" s="16" t="s">
        <v>17</v>
      </c>
      <c r="H416" s="3">
        <v>45320</v>
      </c>
      <c r="I416" s="3">
        <v>45329</v>
      </c>
      <c r="J416" t="s">
        <v>18</v>
      </c>
      <c r="K416" t="s">
        <v>47</v>
      </c>
      <c r="L416">
        <v>9</v>
      </c>
      <c r="M416" t="s">
        <v>39</v>
      </c>
    </row>
    <row r="417" spans="1:13" x14ac:dyDescent="0.35">
      <c r="A417" t="s">
        <v>474</v>
      </c>
      <c r="B417" t="s">
        <v>96</v>
      </c>
      <c r="C417" t="s">
        <v>27</v>
      </c>
      <c r="D417" t="s">
        <v>61</v>
      </c>
      <c r="E417">
        <v>36359</v>
      </c>
      <c r="F417">
        <v>0</v>
      </c>
      <c r="G417" s="16" t="s">
        <v>29</v>
      </c>
      <c r="H417" s="3">
        <v>45306</v>
      </c>
      <c r="I417" s="3"/>
      <c r="J417" t="s">
        <v>18</v>
      </c>
      <c r="K417" t="s">
        <v>47</v>
      </c>
      <c r="M417" t="s">
        <v>39</v>
      </c>
    </row>
    <row r="418" spans="1:13" x14ac:dyDescent="0.35">
      <c r="A418" t="s">
        <v>475</v>
      </c>
      <c r="B418" t="s">
        <v>26</v>
      </c>
      <c r="C418" t="s">
        <v>15</v>
      </c>
      <c r="D418" t="s">
        <v>28</v>
      </c>
      <c r="E418">
        <v>4167</v>
      </c>
      <c r="F418">
        <v>4064</v>
      </c>
      <c r="G418" s="16" t="s">
        <v>17</v>
      </c>
      <c r="H418" s="3">
        <v>45476</v>
      </c>
      <c r="I418" s="3">
        <v>45480</v>
      </c>
      <c r="J418" t="s">
        <v>50</v>
      </c>
      <c r="K418" t="s">
        <v>43</v>
      </c>
      <c r="L418">
        <v>4</v>
      </c>
      <c r="M418" t="s">
        <v>85</v>
      </c>
    </row>
    <row r="419" spans="1:13" x14ac:dyDescent="0.35">
      <c r="A419" t="s">
        <v>476</v>
      </c>
      <c r="B419" t="s">
        <v>72</v>
      </c>
      <c r="C419" t="s">
        <v>27</v>
      </c>
      <c r="D419" t="s">
        <v>70</v>
      </c>
      <c r="E419">
        <v>46641</v>
      </c>
      <c r="F419">
        <v>46146</v>
      </c>
      <c r="G419" s="16" t="s">
        <v>17</v>
      </c>
      <c r="H419" s="3">
        <v>45482</v>
      </c>
      <c r="I419" s="3">
        <v>45490</v>
      </c>
      <c r="J419" t="s">
        <v>50</v>
      </c>
      <c r="K419" t="s">
        <v>47</v>
      </c>
      <c r="L419">
        <v>8</v>
      </c>
      <c r="M419" t="s">
        <v>85</v>
      </c>
    </row>
    <row r="420" spans="1:13" x14ac:dyDescent="0.35">
      <c r="A420" t="s">
        <v>477</v>
      </c>
      <c r="B420" t="s">
        <v>72</v>
      </c>
      <c r="C420" t="s">
        <v>38</v>
      </c>
      <c r="D420" t="s">
        <v>34</v>
      </c>
      <c r="E420">
        <v>12716</v>
      </c>
      <c r="F420">
        <v>11183</v>
      </c>
      <c r="G420" s="16" t="s">
        <v>17</v>
      </c>
      <c r="H420" s="3">
        <v>45644</v>
      </c>
      <c r="I420" s="3">
        <v>45646</v>
      </c>
      <c r="J420" t="s">
        <v>50</v>
      </c>
      <c r="K420" t="s">
        <v>47</v>
      </c>
      <c r="L420">
        <v>2</v>
      </c>
      <c r="M420" t="s">
        <v>62</v>
      </c>
    </row>
    <row r="421" spans="1:13" x14ac:dyDescent="0.35">
      <c r="A421" t="s">
        <v>478</v>
      </c>
      <c r="B421" t="s">
        <v>22</v>
      </c>
      <c r="C421" t="s">
        <v>15</v>
      </c>
      <c r="D421" t="s">
        <v>61</v>
      </c>
      <c r="E421">
        <v>39503</v>
      </c>
      <c r="F421">
        <v>37748</v>
      </c>
      <c r="G421" s="16" t="s">
        <v>17</v>
      </c>
      <c r="H421" s="3">
        <v>45405</v>
      </c>
      <c r="I421" s="3">
        <v>45409</v>
      </c>
      <c r="J421" t="s">
        <v>18</v>
      </c>
      <c r="K421" t="s">
        <v>43</v>
      </c>
      <c r="L421">
        <v>4</v>
      </c>
      <c r="M421" t="s">
        <v>51</v>
      </c>
    </row>
    <row r="422" spans="1:13" x14ac:dyDescent="0.35">
      <c r="A422" t="s">
        <v>479</v>
      </c>
      <c r="B422" t="s">
        <v>22</v>
      </c>
      <c r="C422" t="s">
        <v>15</v>
      </c>
      <c r="D422" t="s">
        <v>23</v>
      </c>
      <c r="E422">
        <v>33070</v>
      </c>
      <c r="F422">
        <v>31745</v>
      </c>
      <c r="G422" s="16" t="s">
        <v>17</v>
      </c>
      <c r="H422" s="3">
        <v>45380</v>
      </c>
      <c r="I422" s="3">
        <v>45390</v>
      </c>
      <c r="J422" t="s">
        <v>18</v>
      </c>
      <c r="K422" t="s">
        <v>47</v>
      </c>
      <c r="L422">
        <v>10</v>
      </c>
      <c r="M422" t="s">
        <v>67</v>
      </c>
    </row>
    <row r="423" spans="1:13" x14ac:dyDescent="0.35">
      <c r="A423" t="s">
        <v>480</v>
      </c>
      <c r="B423" t="s">
        <v>96</v>
      </c>
      <c r="C423" t="s">
        <v>38</v>
      </c>
      <c r="D423" t="s">
        <v>16</v>
      </c>
      <c r="E423">
        <v>29774</v>
      </c>
      <c r="F423">
        <v>28030</v>
      </c>
      <c r="G423" s="16" t="s">
        <v>17</v>
      </c>
      <c r="H423" s="3">
        <v>45470</v>
      </c>
      <c r="I423" s="3">
        <v>45478</v>
      </c>
      <c r="J423" t="s">
        <v>50</v>
      </c>
      <c r="K423" t="s">
        <v>47</v>
      </c>
      <c r="L423">
        <v>8</v>
      </c>
      <c r="M423" t="s">
        <v>36</v>
      </c>
    </row>
    <row r="424" spans="1:13" x14ac:dyDescent="0.35">
      <c r="A424" t="s">
        <v>481</v>
      </c>
      <c r="B424" t="s">
        <v>72</v>
      </c>
      <c r="C424" t="s">
        <v>38</v>
      </c>
      <c r="D424" t="s">
        <v>58</v>
      </c>
      <c r="E424">
        <v>40304</v>
      </c>
      <c r="F424">
        <v>40289</v>
      </c>
      <c r="G424" s="16" t="s">
        <v>17</v>
      </c>
      <c r="H424" s="3">
        <v>45553</v>
      </c>
      <c r="I424" s="3">
        <v>45559</v>
      </c>
      <c r="J424" t="s">
        <v>50</v>
      </c>
      <c r="K424" t="s">
        <v>43</v>
      </c>
      <c r="L424">
        <v>6</v>
      </c>
      <c r="M424" t="s">
        <v>24</v>
      </c>
    </row>
    <row r="425" spans="1:13" x14ac:dyDescent="0.35">
      <c r="A425" t="s">
        <v>482</v>
      </c>
      <c r="B425" t="s">
        <v>14</v>
      </c>
      <c r="C425" t="s">
        <v>64</v>
      </c>
      <c r="D425" t="s">
        <v>70</v>
      </c>
      <c r="E425">
        <v>24038</v>
      </c>
      <c r="F425">
        <v>22727</v>
      </c>
      <c r="G425" s="16" t="s">
        <v>17</v>
      </c>
      <c r="H425" s="3">
        <v>45458</v>
      </c>
      <c r="I425" s="3">
        <v>45463</v>
      </c>
      <c r="J425" t="s">
        <v>50</v>
      </c>
      <c r="K425" t="s">
        <v>56</v>
      </c>
      <c r="L425">
        <v>5</v>
      </c>
      <c r="M425" t="s">
        <v>36</v>
      </c>
    </row>
    <row r="426" spans="1:13" x14ac:dyDescent="0.35">
      <c r="A426" t="s">
        <v>483</v>
      </c>
      <c r="B426" t="s">
        <v>96</v>
      </c>
      <c r="C426" t="s">
        <v>46</v>
      </c>
      <c r="D426" t="s">
        <v>61</v>
      </c>
      <c r="E426">
        <v>35901</v>
      </c>
      <c r="F426">
        <v>34059</v>
      </c>
      <c r="G426" s="16" t="s">
        <v>17</v>
      </c>
      <c r="H426" s="3">
        <v>45321</v>
      </c>
      <c r="I426" s="3">
        <v>45331</v>
      </c>
      <c r="J426" t="s">
        <v>50</v>
      </c>
      <c r="K426" t="s">
        <v>56</v>
      </c>
      <c r="L426">
        <v>10</v>
      </c>
      <c r="M426" t="s">
        <v>39</v>
      </c>
    </row>
    <row r="427" spans="1:13" x14ac:dyDescent="0.35">
      <c r="A427" t="s">
        <v>484</v>
      </c>
      <c r="B427" t="s">
        <v>41</v>
      </c>
      <c r="C427" t="s">
        <v>73</v>
      </c>
      <c r="D427" t="s">
        <v>23</v>
      </c>
      <c r="E427">
        <v>44952</v>
      </c>
      <c r="F427">
        <v>44347</v>
      </c>
      <c r="G427" s="16" t="s">
        <v>17</v>
      </c>
      <c r="H427" s="3">
        <v>45424</v>
      </c>
      <c r="I427" s="3">
        <v>45431</v>
      </c>
      <c r="J427" t="s">
        <v>50</v>
      </c>
      <c r="K427" t="s">
        <v>35</v>
      </c>
      <c r="L427">
        <v>7</v>
      </c>
      <c r="M427" t="s">
        <v>31</v>
      </c>
    </row>
    <row r="428" spans="1:13" x14ac:dyDescent="0.35">
      <c r="A428" t="s">
        <v>485</v>
      </c>
      <c r="B428" t="s">
        <v>60</v>
      </c>
      <c r="C428" t="s">
        <v>46</v>
      </c>
      <c r="D428" t="s">
        <v>34</v>
      </c>
      <c r="E428">
        <v>49615</v>
      </c>
      <c r="F428">
        <v>48210</v>
      </c>
      <c r="G428" s="16" t="s">
        <v>17</v>
      </c>
      <c r="H428" s="3">
        <v>45565</v>
      </c>
      <c r="I428" s="3">
        <v>45573</v>
      </c>
      <c r="J428" t="s">
        <v>50</v>
      </c>
      <c r="K428" t="s">
        <v>19</v>
      </c>
      <c r="L428">
        <v>8</v>
      </c>
      <c r="M428" t="s">
        <v>24</v>
      </c>
    </row>
    <row r="429" spans="1:13" x14ac:dyDescent="0.35">
      <c r="A429" t="s">
        <v>486</v>
      </c>
      <c r="B429" t="s">
        <v>96</v>
      </c>
      <c r="C429" t="s">
        <v>73</v>
      </c>
      <c r="D429" t="s">
        <v>61</v>
      </c>
      <c r="E429">
        <v>21253</v>
      </c>
      <c r="F429">
        <v>20289</v>
      </c>
      <c r="G429" s="16" t="s">
        <v>17</v>
      </c>
      <c r="H429" s="3">
        <v>45357</v>
      </c>
      <c r="I429" s="3">
        <v>45362</v>
      </c>
      <c r="J429" t="s">
        <v>18</v>
      </c>
      <c r="K429" t="s">
        <v>56</v>
      </c>
      <c r="L429">
        <v>5</v>
      </c>
      <c r="M429" t="s">
        <v>67</v>
      </c>
    </row>
    <row r="430" spans="1:13" x14ac:dyDescent="0.35">
      <c r="A430" t="s">
        <v>487</v>
      </c>
      <c r="B430" t="s">
        <v>41</v>
      </c>
      <c r="C430" t="s">
        <v>15</v>
      </c>
      <c r="D430" t="s">
        <v>28</v>
      </c>
      <c r="E430">
        <v>25283</v>
      </c>
      <c r="F430">
        <v>23759</v>
      </c>
      <c r="G430" s="16" t="s">
        <v>17</v>
      </c>
      <c r="H430" s="3">
        <v>45449</v>
      </c>
      <c r="I430" s="3">
        <v>45456</v>
      </c>
      <c r="J430" t="s">
        <v>50</v>
      </c>
      <c r="K430" t="s">
        <v>43</v>
      </c>
      <c r="L430">
        <v>7</v>
      </c>
      <c r="M430" t="s">
        <v>36</v>
      </c>
    </row>
    <row r="431" spans="1:13" x14ac:dyDescent="0.35">
      <c r="A431" t="s">
        <v>488</v>
      </c>
      <c r="B431" t="s">
        <v>96</v>
      </c>
      <c r="C431" t="s">
        <v>38</v>
      </c>
      <c r="D431" t="s">
        <v>55</v>
      </c>
      <c r="E431">
        <v>9718</v>
      </c>
      <c r="F431">
        <v>9609</v>
      </c>
      <c r="G431" s="16" t="s">
        <v>17</v>
      </c>
      <c r="H431" s="3">
        <v>45616</v>
      </c>
      <c r="I431" s="3">
        <v>45626</v>
      </c>
      <c r="J431" t="s">
        <v>18</v>
      </c>
      <c r="K431" t="s">
        <v>35</v>
      </c>
      <c r="L431">
        <v>10</v>
      </c>
      <c r="M431" t="s">
        <v>48</v>
      </c>
    </row>
    <row r="432" spans="1:13" x14ac:dyDescent="0.35">
      <c r="A432" t="s">
        <v>489</v>
      </c>
      <c r="B432" t="s">
        <v>26</v>
      </c>
      <c r="C432" t="s">
        <v>15</v>
      </c>
      <c r="D432" t="s">
        <v>58</v>
      </c>
      <c r="E432">
        <v>36723</v>
      </c>
      <c r="F432">
        <v>35877</v>
      </c>
      <c r="G432" s="16" t="s">
        <v>17</v>
      </c>
      <c r="H432" s="3">
        <v>45319</v>
      </c>
      <c r="I432" s="3">
        <v>45322</v>
      </c>
      <c r="J432" t="s">
        <v>18</v>
      </c>
      <c r="K432" t="s">
        <v>47</v>
      </c>
      <c r="L432">
        <v>3</v>
      </c>
      <c r="M432" t="s">
        <v>39</v>
      </c>
    </row>
    <row r="433" spans="1:13" x14ac:dyDescent="0.35">
      <c r="A433" t="s">
        <v>490</v>
      </c>
      <c r="B433" t="s">
        <v>41</v>
      </c>
      <c r="C433" t="s">
        <v>27</v>
      </c>
      <c r="D433" t="s">
        <v>55</v>
      </c>
      <c r="E433">
        <v>11386</v>
      </c>
      <c r="F433">
        <v>9620</v>
      </c>
      <c r="G433" s="16" t="s">
        <v>17</v>
      </c>
      <c r="H433" s="3">
        <v>45384</v>
      </c>
      <c r="I433" s="3">
        <v>45386</v>
      </c>
      <c r="J433" t="s">
        <v>50</v>
      </c>
      <c r="K433" t="s">
        <v>43</v>
      </c>
      <c r="L433">
        <v>2</v>
      </c>
      <c r="M433" t="s">
        <v>51</v>
      </c>
    </row>
    <row r="434" spans="1:13" x14ac:dyDescent="0.35">
      <c r="A434" t="s">
        <v>491</v>
      </c>
      <c r="B434" t="s">
        <v>33</v>
      </c>
      <c r="C434" t="s">
        <v>38</v>
      </c>
      <c r="D434" t="s">
        <v>23</v>
      </c>
      <c r="E434">
        <v>2308</v>
      </c>
      <c r="F434">
        <v>1748</v>
      </c>
      <c r="G434" s="16" t="s">
        <v>17</v>
      </c>
      <c r="H434" s="3">
        <v>45399</v>
      </c>
      <c r="I434" s="3">
        <v>45402</v>
      </c>
      <c r="J434" t="s">
        <v>18</v>
      </c>
      <c r="K434" t="s">
        <v>35</v>
      </c>
      <c r="L434">
        <v>3</v>
      </c>
      <c r="M434" t="s">
        <v>51</v>
      </c>
    </row>
    <row r="435" spans="1:13" x14ac:dyDescent="0.35">
      <c r="A435" t="s">
        <v>492</v>
      </c>
      <c r="B435" t="s">
        <v>14</v>
      </c>
      <c r="C435" t="s">
        <v>73</v>
      </c>
      <c r="D435" t="s">
        <v>58</v>
      </c>
      <c r="E435">
        <v>43516</v>
      </c>
      <c r="F435">
        <v>42690</v>
      </c>
      <c r="G435" s="16" t="s">
        <v>17</v>
      </c>
      <c r="H435" s="3">
        <v>45511</v>
      </c>
      <c r="I435" s="3">
        <v>45519</v>
      </c>
      <c r="J435" t="s">
        <v>50</v>
      </c>
      <c r="K435" t="s">
        <v>47</v>
      </c>
      <c r="L435">
        <v>8</v>
      </c>
      <c r="M435" t="s">
        <v>44</v>
      </c>
    </row>
    <row r="436" spans="1:13" x14ac:dyDescent="0.35">
      <c r="A436" t="s">
        <v>493</v>
      </c>
      <c r="B436" t="s">
        <v>60</v>
      </c>
      <c r="C436" t="s">
        <v>46</v>
      </c>
      <c r="D436" t="s">
        <v>34</v>
      </c>
      <c r="E436">
        <v>2922</v>
      </c>
      <c r="F436">
        <v>1372</v>
      </c>
      <c r="G436" s="16" t="s">
        <v>17</v>
      </c>
      <c r="H436" s="3">
        <v>45563</v>
      </c>
      <c r="I436" s="3">
        <v>45567</v>
      </c>
      <c r="J436" t="s">
        <v>18</v>
      </c>
      <c r="K436" t="s">
        <v>56</v>
      </c>
      <c r="L436">
        <v>4</v>
      </c>
      <c r="M436" t="s">
        <v>24</v>
      </c>
    </row>
    <row r="437" spans="1:13" x14ac:dyDescent="0.35">
      <c r="A437" t="s">
        <v>494</v>
      </c>
      <c r="B437" t="s">
        <v>60</v>
      </c>
      <c r="C437" t="s">
        <v>46</v>
      </c>
      <c r="D437" t="s">
        <v>28</v>
      </c>
      <c r="E437">
        <v>47450</v>
      </c>
      <c r="F437">
        <v>46811</v>
      </c>
      <c r="G437" s="16" t="s">
        <v>17</v>
      </c>
      <c r="H437" s="3">
        <v>45358</v>
      </c>
      <c r="I437" s="3">
        <v>45360</v>
      </c>
      <c r="J437" t="s">
        <v>50</v>
      </c>
      <c r="K437" t="s">
        <v>19</v>
      </c>
      <c r="L437">
        <v>2</v>
      </c>
      <c r="M437" t="s">
        <v>67</v>
      </c>
    </row>
    <row r="438" spans="1:13" x14ac:dyDescent="0.35">
      <c r="A438" t="s">
        <v>495</v>
      </c>
      <c r="B438" t="s">
        <v>53</v>
      </c>
      <c r="C438" t="s">
        <v>38</v>
      </c>
      <c r="D438" t="s">
        <v>61</v>
      </c>
      <c r="E438">
        <v>6278</v>
      </c>
      <c r="F438">
        <v>5668</v>
      </c>
      <c r="G438" s="16" t="s">
        <v>17</v>
      </c>
      <c r="H438" s="3">
        <v>45440</v>
      </c>
      <c r="I438" s="3">
        <v>45448</v>
      </c>
      <c r="J438" t="s">
        <v>50</v>
      </c>
      <c r="K438" t="s">
        <v>35</v>
      </c>
      <c r="L438">
        <v>8</v>
      </c>
      <c r="M438" t="s">
        <v>31</v>
      </c>
    </row>
    <row r="439" spans="1:13" x14ac:dyDescent="0.35">
      <c r="A439" t="s">
        <v>496</v>
      </c>
      <c r="B439" t="s">
        <v>33</v>
      </c>
      <c r="C439" t="s">
        <v>38</v>
      </c>
      <c r="D439" t="s">
        <v>55</v>
      </c>
      <c r="E439">
        <v>25543</v>
      </c>
      <c r="F439">
        <v>25206</v>
      </c>
      <c r="G439" s="16" t="s">
        <v>17</v>
      </c>
      <c r="H439" s="3">
        <v>45498</v>
      </c>
      <c r="I439" s="3">
        <v>45499</v>
      </c>
      <c r="J439" t="s">
        <v>18</v>
      </c>
      <c r="K439" t="s">
        <v>47</v>
      </c>
      <c r="L439">
        <v>1</v>
      </c>
      <c r="M439" t="s">
        <v>85</v>
      </c>
    </row>
    <row r="440" spans="1:13" x14ac:dyDescent="0.35">
      <c r="A440" t="s">
        <v>497</v>
      </c>
      <c r="B440" t="s">
        <v>33</v>
      </c>
      <c r="C440" t="s">
        <v>46</v>
      </c>
      <c r="D440" t="s">
        <v>23</v>
      </c>
      <c r="E440">
        <v>40646</v>
      </c>
      <c r="F440">
        <v>0</v>
      </c>
      <c r="G440" s="16" t="s">
        <v>29</v>
      </c>
      <c r="H440" s="3">
        <v>45378</v>
      </c>
      <c r="I440" s="3"/>
      <c r="J440" t="s">
        <v>18</v>
      </c>
      <c r="K440" t="s">
        <v>43</v>
      </c>
      <c r="M440" t="s">
        <v>67</v>
      </c>
    </row>
    <row r="441" spans="1:13" x14ac:dyDescent="0.35">
      <c r="A441" t="s">
        <v>498</v>
      </c>
      <c r="B441" t="s">
        <v>60</v>
      </c>
      <c r="C441" t="s">
        <v>27</v>
      </c>
      <c r="D441" t="s">
        <v>16</v>
      </c>
      <c r="E441">
        <v>37044</v>
      </c>
      <c r="F441">
        <v>0</v>
      </c>
      <c r="G441" s="16" t="s">
        <v>29</v>
      </c>
      <c r="H441" s="3">
        <v>45316</v>
      </c>
      <c r="I441" s="3"/>
      <c r="J441" t="s">
        <v>18</v>
      </c>
      <c r="K441" t="s">
        <v>56</v>
      </c>
      <c r="M441" t="s">
        <v>39</v>
      </c>
    </row>
    <row r="442" spans="1:13" x14ac:dyDescent="0.35">
      <c r="A442" t="s">
        <v>499</v>
      </c>
      <c r="B442" t="s">
        <v>14</v>
      </c>
      <c r="C442" t="s">
        <v>15</v>
      </c>
      <c r="D442" t="s">
        <v>23</v>
      </c>
      <c r="E442">
        <v>47203</v>
      </c>
      <c r="F442">
        <v>46350</v>
      </c>
      <c r="G442" s="16" t="s">
        <v>17</v>
      </c>
      <c r="H442" s="3">
        <v>45519</v>
      </c>
      <c r="I442" s="3">
        <v>45526</v>
      </c>
      <c r="J442" t="s">
        <v>18</v>
      </c>
      <c r="K442" t="s">
        <v>19</v>
      </c>
      <c r="L442">
        <v>7</v>
      </c>
      <c r="M442" t="s">
        <v>44</v>
      </c>
    </row>
    <row r="443" spans="1:13" x14ac:dyDescent="0.35">
      <c r="A443" t="s">
        <v>500</v>
      </c>
      <c r="B443" t="s">
        <v>96</v>
      </c>
      <c r="C443" t="s">
        <v>64</v>
      </c>
      <c r="D443" t="s">
        <v>61</v>
      </c>
      <c r="E443">
        <v>15467</v>
      </c>
      <c r="F443">
        <v>14851</v>
      </c>
      <c r="G443" s="16" t="s">
        <v>17</v>
      </c>
      <c r="H443" s="3">
        <v>45507</v>
      </c>
      <c r="I443" s="3">
        <v>45509</v>
      </c>
      <c r="J443" t="s">
        <v>50</v>
      </c>
      <c r="K443" t="s">
        <v>19</v>
      </c>
      <c r="L443">
        <v>2</v>
      </c>
      <c r="M443" t="s">
        <v>44</v>
      </c>
    </row>
    <row r="444" spans="1:13" x14ac:dyDescent="0.35">
      <c r="A444" t="s">
        <v>501</v>
      </c>
      <c r="B444" t="s">
        <v>53</v>
      </c>
      <c r="C444" t="s">
        <v>73</v>
      </c>
      <c r="D444" t="s">
        <v>58</v>
      </c>
      <c r="E444">
        <v>8875</v>
      </c>
      <c r="F444">
        <v>0</v>
      </c>
      <c r="G444" s="16" t="s">
        <v>29</v>
      </c>
      <c r="H444" s="3">
        <v>45608</v>
      </c>
      <c r="I444" s="3"/>
      <c r="J444" t="s">
        <v>18</v>
      </c>
      <c r="K444" t="s">
        <v>43</v>
      </c>
      <c r="M444" t="s">
        <v>48</v>
      </c>
    </row>
    <row r="445" spans="1:13" x14ac:dyDescent="0.35">
      <c r="A445" t="s">
        <v>502</v>
      </c>
      <c r="B445" t="s">
        <v>14</v>
      </c>
      <c r="C445" t="s">
        <v>15</v>
      </c>
      <c r="D445" t="s">
        <v>55</v>
      </c>
      <c r="E445">
        <v>15018</v>
      </c>
      <c r="F445">
        <v>0</v>
      </c>
      <c r="G445" s="16" t="s">
        <v>29</v>
      </c>
      <c r="H445" s="3">
        <v>45394</v>
      </c>
      <c r="I445" s="3"/>
      <c r="J445" t="s">
        <v>50</v>
      </c>
      <c r="K445" t="s">
        <v>30</v>
      </c>
      <c r="M445" t="s">
        <v>51</v>
      </c>
    </row>
    <row r="446" spans="1:13" x14ac:dyDescent="0.35">
      <c r="A446" t="s">
        <v>503</v>
      </c>
      <c r="B446" t="s">
        <v>79</v>
      </c>
      <c r="C446" t="s">
        <v>46</v>
      </c>
      <c r="D446" t="s">
        <v>34</v>
      </c>
      <c r="E446">
        <v>48100</v>
      </c>
      <c r="F446">
        <v>47496</v>
      </c>
      <c r="G446" s="16" t="s">
        <v>17</v>
      </c>
      <c r="H446" s="3">
        <v>45374</v>
      </c>
      <c r="I446" s="3">
        <v>45375</v>
      </c>
      <c r="J446" t="s">
        <v>50</v>
      </c>
      <c r="K446" t="s">
        <v>47</v>
      </c>
      <c r="L446">
        <v>1</v>
      </c>
      <c r="M446" t="s">
        <v>67</v>
      </c>
    </row>
    <row r="447" spans="1:13" x14ac:dyDescent="0.35">
      <c r="A447" t="s">
        <v>504</v>
      </c>
      <c r="B447" t="s">
        <v>72</v>
      </c>
      <c r="C447" t="s">
        <v>38</v>
      </c>
      <c r="D447" t="s">
        <v>28</v>
      </c>
      <c r="E447">
        <v>2179</v>
      </c>
      <c r="F447">
        <v>804</v>
      </c>
      <c r="G447" s="16" t="s">
        <v>17</v>
      </c>
      <c r="H447" s="3">
        <v>45337</v>
      </c>
      <c r="I447" s="3">
        <v>45339</v>
      </c>
      <c r="J447" t="s">
        <v>50</v>
      </c>
      <c r="K447" t="s">
        <v>47</v>
      </c>
      <c r="L447">
        <v>2</v>
      </c>
      <c r="M447" t="s">
        <v>20</v>
      </c>
    </row>
    <row r="448" spans="1:13" x14ac:dyDescent="0.35">
      <c r="A448" t="s">
        <v>505</v>
      </c>
      <c r="B448" t="s">
        <v>14</v>
      </c>
      <c r="C448" t="s">
        <v>15</v>
      </c>
      <c r="D448" t="s">
        <v>70</v>
      </c>
      <c r="E448">
        <v>18770</v>
      </c>
      <c r="F448">
        <v>17835</v>
      </c>
      <c r="G448" s="16" t="s">
        <v>17</v>
      </c>
      <c r="H448" s="3">
        <v>45443</v>
      </c>
      <c r="I448" s="3">
        <v>45448</v>
      </c>
      <c r="J448" t="s">
        <v>50</v>
      </c>
      <c r="K448" t="s">
        <v>47</v>
      </c>
      <c r="L448">
        <v>5</v>
      </c>
      <c r="M448" t="s">
        <v>31</v>
      </c>
    </row>
    <row r="449" spans="1:13" x14ac:dyDescent="0.35">
      <c r="A449" t="s">
        <v>506</v>
      </c>
      <c r="B449" t="s">
        <v>14</v>
      </c>
      <c r="C449" t="s">
        <v>73</v>
      </c>
      <c r="D449" t="s">
        <v>23</v>
      </c>
      <c r="E449">
        <v>21042</v>
      </c>
      <c r="F449">
        <v>19401</v>
      </c>
      <c r="G449" s="16" t="s">
        <v>17</v>
      </c>
      <c r="H449" s="3">
        <v>45638</v>
      </c>
      <c r="I449" s="3">
        <v>45644</v>
      </c>
      <c r="J449" t="s">
        <v>50</v>
      </c>
      <c r="K449" t="s">
        <v>56</v>
      </c>
      <c r="L449">
        <v>6</v>
      </c>
      <c r="M449" t="s">
        <v>62</v>
      </c>
    </row>
    <row r="450" spans="1:13" x14ac:dyDescent="0.35">
      <c r="A450" t="s">
        <v>507</v>
      </c>
      <c r="B450" t="s">
        <v>14</v>
      </c>
      <c r="C450" t="s">
        <v>15</v>
      </c>
      <c r="D450" t="s">
        <v>23</v>
      </c>
      <c r="E450">
        <v>2633</v>
      </c>
      <c r="F450">
        <v>1275</v>
      </c>
      <c r="G450" s="16" t="s">
        <v>17</v>
      </c>
      <c r="H450" s="3">
        <v>45623</v>
      </c>
      <c r="I450" s="3">
        <v>45626</v>
      </c>
      <c r="J450" t="s">
        <v>50</v>
      </c>
      <c r="K450" t="s">
        <v>43</v>
      </c>
      <c r="L450">
        <v>3</v>
      </c>
      <c r="M450" t="s">
        <v>48</v>
      </c>
    </row>
    <row r="451" spans="1:13" x14ac:dyDescent="0.35">
      <c r="A451" t="s">
        <v>508</v>
      </c>
      <c r="B451" t="s">
        <v>72</v>
      </c>
      <c r="C451" t="s">
        <v>38</v>
      </c>
      <c r="D451" t="s">
        <v>70</v>
      </c>
      <c r="E451">
        <v>26420</v>
      </c>
      <c r="F451">
        <v>26046</v>
      </c>
      <c r="G451" s="16" t="s">
        <v>17</v>
      </c>
      <c r="H451" s="3">
        <v>45350</v>
      </c>
      <c r="I451" s="3">
        <v>45357</v>
      </c>
      <c r="J451" t="s">
        <v>50</v>
      </c>
      <c r="K451" t="s">
        <v>35</v>
      </c>
      <c r="L451">
        <v>7</v>
      </c>
      <c r="M451" t="s">
        <v>20</v>
      </c>
    </row>
    <row r="452" spans="1:13" x14ac:dyDescent="0.35">
      <c r="A452" t="s">
        <v>509</v>
      </c>
      <c r="B452" t="s">
        <v>96</v>
      </c>
      <c r="C452" t="s">
        <v>27</v>
      </c>
      <c r="D452" t="s">
        <v>55</v>
      </c>
      <c r="E452">
        <v>29639</v>
      </c>
      <c r="F452">
        <v>29408</v>
      </c>
      <c r="G452" s="16" t="s">
        <v>17</v>
      </c>
      <c r="H452" s="3">
        <v>45359</v>
      </c>
      <c r="I452" s="3">
        <v>45360</v>
      </c>
      <c r="J452" t="s">
        <v>18</v>
      </c>
      <c r="K452" t="s">
        <v>47</v>
      </c>
      <c r="L452">
        <v>1</v>
      </c>
      <c r="M452" t="s">
        <v>67</v>
      </c>
    </row>
    <row r="453" spans="1:13" x14ac:dyDescent="0.35">
      <c r="A453" t="s">
        <v>510</v>
      </c>
      <c r="B453" t="s">
        <v>22</v>
      </c>
      <c r="C453" t="s">
        <v>64</v>
      </c>
      <c r="D453" t="s">
        <v>55</v>
      </c>
      <c r="E453">
        <v>13879</v>
      </c>
      <c r="F453">
        <v>0</v>
      </c>
      <c r="G453" s="16" t="s">
        <v>29</v>
      </c>
      <c r="H453" s="3">
        <v>45486</v>
      </c>
      <c r="I453" s="3"/>
      <c r="J453" t="s">
        <v>50</v>
      </c>
      <c r="K453" t="s">
        <v>19</v>
      </c>
      <c r="M453" t="s">
        <v>85</v>
      </c>
    </row>
    <row r="454" spans="1:13" x14ac:dyDescent="0.35">
      <c r="A454" t="s">
        <v>511</v>
      </c>
      <c r="B454" t="s">
        <v>60</v>
      </c>
      <c r="C454" t="s">
        <v>73</v>
      </c>
      <c r="D454" t="s">
        <v>55</v>
      </c>
      <c r="E454">
        <v>33989</v>
      </c>
      <c r="F454">
        <v>32172</v>
      </c>
      <c r="G454" s="16" t="s">
        <v>17</v>
      </c>
      <c r="H454" s="3">
        <v>45502</v>
      </c>
      <c r="I454" s="3">
        <v>45510</v>
      </c>
      <c r="J454" t="s">
        <v>18</v>
      </c>
      <c r="K454" t="s">
        <v>47</v>
      </c>
      <c r="L454">
        <v>8</v>
      </c>
      <c r="M454" t="s">
        <v>85</v>
      </c>
    </row>
    <row r="455" spans="1:13" x14ac:dyDescent="0.35">
      <c r="A455" t="s">
        <v>512</v>
      </c>
      <c r="B455" t="s">
        <v>96</v>
      </c>
      <c r="C455" t="s">
        <v>38</v>
      </c>
      <c r="D455" t="s">
        <v>23</v>
      </c>
      <c r="E455">
        <v>48174</v>
      </c>
      <c r="F455">
        <v>0</v>
      </c>
      <c r="G455" s="16" t="s">
        <v>29</v>
      </c>
      <c r="H455" s="3">
        <v>45587</v>
      </c>
      <c r="I455" s="3"/>
      <c r="J455" t="s">
        <v>18</v>
      </c>
      <c r="K455" t="s">
        <v>56</v>
      </c>
      <c r="M455" t="s">
        <v>76</v>
      </c>
    </row>
    <row r="456" spans="1:13" x14ac:dyDescent="0.35">
      <c r="A456" t="s">
        <v>513</v>
      </c>
      <c r="B456" t="s">
        <v>41</v>
      </c>
      <c r="C456" t="s">
        <v>15</v>
      </c>
      <c r="D456" t="s">
        <v>58</v>
      </c>
      <c r="E456">
        <v>45366</v>
      </c>
      <c r="F456">
        <v>44380</v>
      </c>
      <c r="G456" s="16" t="s">
        <v>17</v>
      </c>
      <c r="H456" s="3">
        <v>45469</v>
      </c>
      <c r="I456" s="3">
        <v>45476</v>
      </c>
      <c r="J456" t="s">
        <v>18</v>
      </c>
      <c r="K456" t="s">
        <v>30</v>
      </c>
      <c r="L456">
        <v>7</v>
      </c>
      <c r="M456" t="s">
        <v>36</v>
      </c>
    </row>
    <row r="457" spans="1:13" x14ac:dyDescent="0.35">
      <c r="A457" t="s">
        <v>514</v>
      </c>
      <c r="B457" t="s">
        <v>79</v>
      </c>
      <c r="C457" t="s">
        <v>15</v>
      </c>
      <c r="D457" t="s">
        <v>23</v>
      </c>
      <c r="E457">
        <v>44165</v>
      </c>
      <c r="F457">
        <v>43130</v>
      </c>
      <c r="G457" s="16" t="s">
        <v>17</v>
      </c>
      <c r="H457" s="3">
        <v>45532</v>
      </c>
      <c r="I457" s="3">
        <v>45540</v>
      </c>
      <c r="J457" t="s">
        <v>18</v>
      </c>
      <c r="K457" t="s">
        <v>47</v>
      </c>
      <c r="L457">
        <v>8</v>
      </c>
      <c r="M457" t="s">
        <v>44</v>
      </c>
    </row>
    <row r="458" spans="1:13" x14ac:dyDescent="0.35">
      <c r="A458" t="s">
        <v>515</v>
      </c>
      <c r="B458" t="s">
        <v>72</v>
      </c>
      <c r="C458" t="s">
        <v>38</v>
      </c>
      <c r="D458" t="s">
        <v>28</v>
      </c>
      <c r="E458">
        <v>23685</v>
      </c>
      <c r="F458">
        <v>23582</v>
      </c>
      <c r="G458" s="16" t="s">
        <v>17</v>
      </c>
      <c r="H458" s="3">
        <v>45551</v>
      </c>
      <c r="I458" s="3">
        <v>45555</v>
      </c>
      <c r="J458" t="s">
        <v>50</v>
      </c>
      <c r="K458" t="s">
        <v>35</v>
      </c>
      <c r="L458">
        <v>4</v>
      </c>
      <c r="M458" t="s">
        <v>24</v>
      </c>
    </row>
    <row r="459" spans="1:13" x14ac:dyDescent="0.35">
      <c r="A459" t="s">
        <v>516</v>
      </c>
      <c r="B459" t="s">
        <v>26</v>
      </c>
      <c r="C459" t="s">
        <v>15</v>
      </c>
      <c r="D459" t="s">
        <v>55</v>
      </c>
      <c r="E459">
        <v>31110</v>
      </c>
      <c r="F459">
        <v>0</v>
      </c>
      <c r="G459" s="16" t="s">
        <v>29</v>
      </c>
      <c r="H459" s="3">
        <v>45521</v>
      </c>
      <c r="I459" s="3"/>
      <c r="J459" t="s">
        <v>18</v>
      </c>
      <c r="K459" t="s">
        <v>30</v>
      </c>
      <c r="M459" t="s">
        <v>44</v>
      </c>
    </row>
    <row r="460" spans="1:13" x14ac:dyDescent="0.35">
      <c r="A460" t="s">
        <v>517</v>
      </c>
      <c r="B460" t="s">
        <v>72</v>
      </c>
      <c r="C460" t="s">
        <v>64</v>
      </c>
      <c r="D460" t="s">
        <v>34</v>
      </c>
      <c r="E460">
        <v>9779</v>
      </c>
      <c r="F460">
        <v>8253</v>
      </c>
      <c r="G460" s="16" t="s">
        <v>17</v>
      </c>
      <c r="H460" s="3">
        <v>45626</v>
      </c>
      <c r="I460" s="3">
        <v>45627</v>
      </c>
      <c r="J460" t="s">
        <v>18</v>
      </c>
      <c r="K460" t="s">
        <v>35</v>
      </c>
      <c r="L460">
        <v>1</v>
      </c>
      <c r="M460" t="s">
        <v>48</v>
      </c>
    </row>
    <row r="461" spans="1:13" x14ac:dyDescent="0.35">
      <c r="A461" t="s">
        <v>518</v>
      </c>
      <c r="B461" t="s">
        <v>22</v>
      </c>
      <c r="C461" t="s">
        <v>15</v>
      </c>
      <c r="D461" t="s">
        <v>23</v>
      </c>
      <c r="E461">
        <v>7956</v>
      </c>
      <c r="F461">
        <v>0</v>
      </c>
      <c r="G461" s="16" t="s">
        <v>29</v>
      </c>
      <c r="H461" s="3">
        <v>45608</v>
      </c>
      <c r="I461" s="3"/>
      <c r="J461" t="s">
        <v>50</v>
      </c>
      <c r="K461" t="s">
        <v>19</v>
      </c>
      <c r="M461" t="s">
        <v>48</v>
      </c>
    </row>
    <row r="462" spans="1:13" x14ac:dyDescent="0.35">
      <c r="A462" t="s">
        <v>519</v>
      </c>
      <c r="B462" t="s">
        <v>79</v>
      </c>
      <c r="C462" t="s">
        <v>46</v>
      </c>
      <c r="D462" t="s">
        <v>55</v>
      </c>
      <c r="E462">
        <v>24338</v>
      </c>
      <c r="F462">
        <v>22648</v>
      </c>
      <c r="G462" s="16" t="s">
        <v>17</v>
      </c>
      <c r="H462" s="3">
        <v>45319</v>
      </c>
      <c r="I462" s="3">
        <v>45323</v>
      </c>
      <c r="J462" t="s">
        <v>50</v>
      </c>
      <c r="K462" t="s">
        <v>43</v>
      </c>
      <c r="L462">
        <v>4</v>
      </c>
      <c r="M462" t="s">
        <v>39</v>
      </c>
    </row>
    <row r="463" spans="1:13" x14ac:dyDescent="0.35">
      <c r="A463" t="s">
        <v>520</v>
      </c>
      <c r="B463" t="s">
        <v>79</v>
      </c>
      <c r="C463" t="s">
        <v>64</v>
      </c>
      <c r="D463" t="s">
        <v>34</v>
      </c>
      <c r="E463">
        <v>48918</v>
      </c>
      <c r="F463">
        <v>48685</v>
      </c>
      <c r="G463" s="16" t="s">
        <v>17</v>
      </c>
      <c r="H463" s="3">
        <v>45341</v>
      </c>
      <c r="I463" s="3">
        <v>45345</v>
      </c>
      <c r="J463" t="s">
        <v>18</v>
      </c>
      <c r="K463" t="s">
        <v>43</v>
      </c>
      <c r="L463">
        <v>4</v>
      </c>
      <c r="M463" t="s">
        <v>20</v>
      </c>
    </row>
    <row r="464" spans="1:13" x14ac:dyDescent="0.35">
      <c r="A464" t="s">
        <v>521</v>
      </c>
      <c r="B464" t="s">
        <v>41</v>
      </c>
      <c r="C464" t="s">
        <v>38</v>
      </c>
      <c r="D464" t="s">
        <v>34</v>
      </c>
      <c r="E464">
        <v>48012</v>
      </c>
      <c r="F464">
        <v>47919</v>
      </c>
      <c r="G464" s="16" t="s">
        <v>17</v>
      </c>
      <c r="H464" s="3">
        <v>45376</v>
      </c>
      <c r="I464" s="3">
        <v>45384</v>
      </c>
      <c r="J464" t="s">
        <v>18</v>
      </c>
      <c r="K464" t="s">
        <v>30</v>
      </c>
      <c r="L464">
        <v>8</v>
      </c>
      <c r="M464" t="s">
        <v>67</v>
      </c>
    </row>
    <row r="465" spans="1:13" x14ac:dyDescent="0.35">
      <c r="A465" t="s">
        <v>522</v>
      </c>
      <c r="B465" t="s">
        <v>22</v>
      </c>
      <c r="C465" t="s">
        <v>15</v>
      </c>
      <c r="D465" t="s">
        <v>16</v>
      </c>
      <c r="E465">
        <v>42032</v>
      </c>
      <c r="F465">
        <v>41648</v>
      </c>
      <c r="G465" s="16" t="s">
        <v>17</v>
      </c>
      <c r="H465" s="3">
        <v>45353</v>
      </c>
      <c r="I465" s="3">
        <v>45360</v>
      </c>
      <c r="J465" t="s">
        <v>18</v>
      </c>
      <c r="K465" t="s">
        <v>35</v>
      </c>
      <c r="L465">
        <v>7</v>
      </c>
      <c r="M465" t="s">
        <v>67</v>
      </c>
    </row>
    <row r="466" spans="1:13" x14ac:dyDescent="0.35">
      <c r="A466" t="s">
        <v>523</v>
      </c>
      <c r="B466" t="s">
        <v>26</v>
      </c>
      <c r="C466" t="s">
        <v>38</v>
      </c>
      <c r="D466" t="s">
        <v>70</v>
      </c>
      <c r="E466">
        <v>29162</v>
      </c>
      <c r="F466">
        <v>27265</v>
      </c>
      <c r="G466" s="16" t="s">
        <v>17</v>
      </c>
      <c r="H466" s="3">
        <v>45616</v>
      </c>
      <c r="I466" s="3">
        <v>45626</v>
      </c>
      <c r="J466" t="s">
        <v>18</v>
      </c>
      <c r="K466" t="s">
        <v>30</v>
      </c>
      <c r="L466">
        <v>10</v>
      </c>
      <c r="M466" t="s">
        <v>48</v>
      </c>
    </row>
    <row r="467" spans="1:13" x14ac:dyDescent="0.35">
      <c r="A467" t="s">
        <v>524</v>
      </c>
      <c r="B467" t="s">
        <v>72</v>
      </c>
      <c r="C467" t="s">
        <v>64</v>
      </c>
      <c r="D467" t="s">
        <v>61</v>
      </c>
      <c r="E467">
        <v>34691</v>
      </c>
      <c r="F467">
        <v>33605</v>
      </c>
      <c r="G467" s="16" t="s">
        <v>17</v>
      </c>
      <c r="H467" s="3">
        <v>45316</v>
      </c>
      <c r="I467" s="3">
        <v>45325</v>
      </c>
      <c r="J467" t="s">
        <v>50</v>
      </c>
      <c r="K467" t="s">
        <v>30</v>
      </c>
      <c r="L467">
        <v>9</v>
      </c>
      <c r="M467" t="s">
        <v>39</v>
      </c>
    </row>
    <row r="468" spans="1:13" x14ac:dyDescent="0.35">
      <c r="A468" t="s">
        <v>525</v>
      </c>
      <c r="B468" t="s">
        <v>53</v>
      </c>
      <c r="C468" t="s">
        <v>64</v>
      </c>
      <c r="D468" t="s">
        <v>61</v>
      </c>
      <c r="E468">
        <v>47338</v>
      </c>
      <c r="F468">
        <v>0</v>
      </c>
      <c r="G468" s="16" t="s">
        <v>29</v>
      </c>
      <c r="H468" s="3">
        <v>45380</v>
      </c>
      <c r="I468" s="3"/>
      <c r="J468" t="s">
        <v>18</v>
      </c>
      <c r="K468" t="s">
        <v>47</v>
      </c>
      <c r="M468" t="s">
        <v>67</v>
      </c>
    </row>
    <row r="469" spans="1:13" x14ac:dyDescent="0.35">
      <c r="A469" t="s">
        <v>526</v>
      </c>
      <c r="B469" t="s">
        <v>22</v>
      </c>
      <c r="C469" t="s">
        <v>38</v>
      </c>
      <c r="D469" t="s">
        <v>58</v>
      </c>
      <c r="E469">
        <v>29437</v>
      </c>
      <c r="F469">
        <v>0</v>
      </c>
      <c r="G469" s="16" t="s">
        <v>29</v>
      </c>
      <c r="H469" s="3">
        <v>45646</v>
      </c>
      <c r="I469" s="3"/>
      <c r="J469" t="s">
        <v>18</v>
      </c>
      <c r="K469" t="s">
        <v>43</v>
      </c>
      <c r="M469" t="s">
        <v>62</v>
      </c>
    </row>
    <row r="470" spans="1:13" x14ac:dyDescent="0.35">
      <c r="A470" t="s">
        <v>527</v>
      </c>
      <c r="B470" t="s">
        <v>22</v>
      </c>
      <c r="C470" t="s">
        <v>38</v>
      </c>
      <c r="D470" t="s">
        <v>16</v>
      </c>
      <c r="E470">
        <v>31677</v>
      </c>
      <c r="F470">
        <v>31395</v>
      </c>
      <c r="G470" s="16" t="s">
        <v>17</v>
      </c>
      <c r="H470" s="3">
        <v>45503</v>
      </c>
      <c r="I470" s="3">
        <v>45513</v>
      </c>
      <c r="J470" t="s">
        <v>50</v>
      </c>
      <c r="K470" t="s">
        <v>30</v>
      </c>
      <c r="L470">
        <v>10</v>
      </c>
      <c r="M470" t="s">
        <v>85</v>
      </c>
    </row>
    <row r="471" spans="1:13" x14ac:dyDescent="0.35">
      <c r="A471" t="s">
        <v>528</v>
      </c>
      <c r="B471" t="s">
        <v>79</v>
      </c>
      <c r="C471" t="s">
        <v>38</v>
      </c>
      <c r="D471" t="s">
        <v>28</v>
      </c>
      <c r="E471">
        <v>15165</v>
      </c>
      <c r="F471">
        <v>13887</v>
      </c>
      <c r="G471" s="16" t="s">
        <v>17</v>
      </c>
      <c r="H471" s="3">
        <v>45657</v>
      </c>
      <c r="I471" s="3">
        <v>45662</v>
      </c>
      <c r="J471" t="s">
        <v>50</v>
      </c>
      <c r="K471" t="s">
        <v>56</v>
      </c>
      <c r="L471">
        <v>5</v>
      </c>
      <c r="M471" t="s">
        <v>62</v>
      </c>
    </row>
    <row r="472" spans="1:13" x14ac:dyDescent="0.35">
      <c r="A472" t="s">
        <v>529</v>
      </c>
      <c r="B472" t="s">
        <v>33</v>
      </c>
      <c r="C472" t="s">
        <v>73</v>
      </c>
      <c r="D472" t="s">
        <v>34</v>
      </c>
      <c r="E472">
        <v>48553</v>
      </c>
      <c r="F472">
        <v>46995</v>
      </c>
      <c r="G472" s="16" t="s">
        <v>17</v>
      </c>
      <c r="H472" s="3">
        <v>45472</v>
      </c>
      <c r="I472" s="3">
        <v>45481</v>
      </c>
      <c r="J472" t="s">
        <v>50</v>
      </c>
      <c r="K472" t="s">
        <v>19</v>
      </c>
      <c r="L472">
        <v>9</v>
      </c>
      <c r="M472" t="s">
        <v>36</v>
      </c>
    </row>
    <row r="473" spans="1:13" x14ac:dyDescent="0.35">
      <c r="A473" t="s">
        <v>530</v>
      </c>
      <c r="B473" t="s">
        <v>53</v>
      </c>
      <c r="C473" t="s">
        <v>27</v>
      </c>
      <c r="D473" t="s">
        <v>16</v>
      </c>
      <c r="E473">
        <v>29681</v>
      </c>
      <c r="F473">
        <v>28611</v>
      </c>
      <c r="G473" s="16" t="s">
        <v>17</v>
      </c>
      <c r="H473" s="3">
        <v>45346</v>
      </c>
      <c r="I473" s="3">
        <v>45347</v>
      </c>
      <c r="J473" t="s">
        <v>50</v>
      </c>
      <c r="K473" t="s">
        <v>47</v>
      </c>
      <c r="L473">
        <v>1</v>
      </c>
      <c r="M473" t="s">
        <v>20</v>
      </c>
    </row>
    <row r="474" spans="1:13" x14ac:dyDescent="0.35">
      <c r="A474" t="s">
        <v>531</v>
      </c>
      <c r="B474" t="s">
        <v>60</v>
      </c>
      <c r="C474" t="s">
        <v>15</v>
      </c>
      <c r="D474" t="s">
        <v>28</v>
      </c>
      <c r="E474">
        <v>19496</v>
      </c>
      <c r="F474">
        <v>18910</v>
      </c>
      <c r="G474" s="16" t="s">
        <v>17</v>
      </c>
      <c r="H474" s="3">
        <v>45641</v>
      </c>
      <c r="I474" s="3">
        <v>45646</v>
      </c>
      <c r="J474" t="s">
        <v>18</v>
      </c>
      <c r="K474" t="s">
        <v>30</v>
      </c>
      <c r="L474">
        <v>5</v>
      </c>
      <c r="M474" t="s">
        <v>62</v>
      </c>
    </row>
    <row r="475" spans="1:13" x14ac:dyDescent="0.35">
      <c r="A475" t="s">
        <v>532</v>
      </c>
      <c r="B475" t="s">
        <v>60</v>
      </c>
      <c r="C475" t="s">
        <v>38</v>
      </c>
      <c r="D475" t="s">
        <v>28</v>
      </c>
      <c r="E475">
        <v>37466</v>
      </c>
      <c r="F475">
        <v>36732</v>
      </c>
      <c r="G475" s="16" t="s">
        <v>17</v>
      </c>
      <c r="H475" s="3">
        <v>45523</v>
      </c>
      <c r="I475" s="3">
        <v>45525</v>
      </c>
      <c r="J475" t="s">
        <v>18</v>
      </c>
      <c r="K475" t="s">
        <v>56</v>
      </c>
      <c r="L475">
        <v>2</v>
      </c>
      <c r="M475" t="s">
        <v>44</v>
      </c>
    </row>
    <row r="476" spans="1:13" x14ac:dyDescent="0.35">
      <c r="A476" t="s">
        <v>533</v>
      </c>
      <c r="B476" t="s">
        <v>79</v>
      </c>
      <c r="C476" t="s">
        <v>27</v>
      </c>
      <c r="D476" t="s">
        <v>28</v>
      </c>
      <c r="E476">
        <v>35483</v>
      </c>
      <c r="F476">
        <v>34064</v>
      </c>
      <c r="G476" s="16" t="s">
        <v>17</v>
      </c>
      <c r="H476" s="3">
        <v>45632</v>
      </c>
      <c r="I476" s="3">
        <v>45633</v>
      </c>
      <c r="J476" t="s">
        <v>50</v>
      </c>
      <c r="K476" t="s">
        <v>35</v>
      </c>
      <c r="L476">
        <v>1</v>
      </c>
      <c r="M476" t="s">
        <v>62</v>
      </c>
    </row>
    <row r="477" spans="1:13" x14ac:dyDescent="0.35">
      <c r="A477" t="s">
        <v>534</v>
      </c>
      <c r="B477" t="s">
        <v>22</v>
      </c>
      <c r="C477" t="s">
        <v>38</v>
      </c>
      <c r="D477" t="s">
        <v>23</v>
      </c>
      <c r="E477">
        <v>2849</v>
      </c>
      <c r="F477">
        <v>2434</v>
      </c>
      <c r="G477" s="16" t="s">
        <v>17</v>
      </c>
      <c r="H477" s="3">
        <v>45609</v>
      </c>
      <c r="I477" s="3">
        <v>45617</v>
      </c>
      <c r="J477" t="s">
        <v>18</v>
      </c>
      <c r="K477" t="s">
        <v>56</v>
      </c>
      <c r="L477">
        <v>8</v>
      </c>
      <c r="M477" t="s">
        <v>48</v>
      </c>
    </row>
    <row r="478" spans="1:13" x14ac:dyDescent="0.35">
      <c r="A478" t="s">
        <v>535</v>
      </c>
      <c r="B478" t="s">
        <v>41</v>
      </c>
      <c r="C478" t="s">
        <v>46</v>
      </c>
      <c r="D478" t="s">
        <v>28</v>
      </c>
      <c r="E478">
        <v>21279</v>
      </c>
      <c r="F478">
        <v>20916</v>
      </c>
      <c r="G478" s="16" t="s">
        <v>17</v>
      </c>
      <c r="H478" s="3">
        <v>45641</v>
      </c>
      <c r="I478" s="3">
        <v>45643</v>
      </c>
      <c r="J478" t="s">
        <v>18</v>
      </c>
      <c r="K478" t="s">
        <v>47</v>
      </c>
      <c r="L478">
        <v>2</v>
      </c>
      <c r="M478" t="s">
        <v>62</v>
      </c>
    </row>
    <row r="479" spans="1:13" x14ac:dyDescent="0.35">
      <c r="A479" t="s">
        <v>536</v>
      </c>
      <c r="B479" t="s">
        <v>79</v>
      </c>
      <c r="C479" t="s">
        <v>15</v>
      </c>
      <c r="D479" t="s">
        <v>58</v>
      </c>
      <c r="E479">
        <v>4663</v>
      </c>
      <c r="F479">
        <v>4092</v>
      </c>
      <c r="G479" s="16" t="s">
        <v>17</v>
      </c>
      <c r="H479" s="3">
        <v>45576</v>
      </c>
      <c r="I479" s="3">
        <v>45581</v>
      </c>
      <c r="J479" t="s">
        <v>18</v>
      </c>
      <c r="K479" t="s">
        <v>47</v>
      </c>
      <c r="L479">
        <v>5</v>
      </c>
      <c r="M479" t="s">
        <v>76</v>
      </c>
    </row>
    <row r="480" spans="1:13" x14ac:dyDescent="0.35">
      <c r="A480" t="s">
        <v>537</v>
      </c>
      <c r="B480" t="s">
        <v>53</v>
      </c>
      <c r="C480" t="s">
        <v>38</v>
      </c>
      <c r="D480" t="s">
        <v>23</v>
      </c>
      <c r="E480">
        <v>23663</v>
      </c>
      <c r="F480">
        <v>22210</v>
      </c>
      <c r="G480" s="16" t="s">
        <v>17</v>
      </c>
      <c r="H480" s="3">
        <v>45371</v>
      </c>
      <c r="I480" s="3">
        <v>45372</v>
      </c>
      <c r="J480" t="s">
        <v>18</v>
      </c>
      <c r="K480" t="s">
        <v>43</v>
      </c>
      <c r="L480">
        <v>1</v>
      </c>
      <c r="M480" t="s">
        <v>67</v>
      </c>
    </row>
    <row r="481" spans="1:13" x14ac:dyDescent="0.35">
      <c r="A481" t="s">
        <v>538</v>
      </c>
      <c r="B481" t="s">
        <v>53</v>
      </c>
      <c r="C481" t="s">
        <v>15</v>
      </c>
      <c r="D481" t="s">
        <v>16</v>
      </c>
      <c r="E481">
        <v>34148</v>
      </c>
      <c r="F481">
        <v>0</v>
      </c>
      <c r="G481" s="16" t="s">
        <v>29</v>
      </c>
      <c r="H481" s="3">
        <v>45573</v>
      </c>
      <c r="I481" s="3"/>
      <c r="J481" t="s">
        <v>50</v>
      </c>
      <c r="K481" t="s">
        <v>47</v>
      </c>
      <c r="M481" t="s">
        <v>76</v>
      </c>
    </row>
    <row r="482" spans="1:13" x14ac:dyDescent="0.35">
      <c r="A482" t="s">
        <v>539</v>
      </c>
      <c r="B482" t="s">
        <v>41</v>
      </c>
      <c r="C482" t="s">
        <v>46</v>
      </c>
      <c r="D482" t="s">
        <v>61</v>
      </c>
      <c r="E482">
        <v>36118</v>
      </c>
      <c r="F482">
        <v>34508</v>
      </c>
      <c r="G482" s="16" t="s">
        <v>17</v>
      </c>
      <c r="H482" s="3">
        <v>45550</v>
      </c>
      <c r="I482" s="3">
        <v>45553</v>
      </c>
      <c r="J482" t="s">
        <v>50</v>
      </c>
      <c r="K482" t="s">
        <v>19</v>
      </c>
      <c r="L482">
        <v>3</v>
      </c>
      <c r="M482" t="s">
        <v>24</v>
      </c>
    </row>
    <row r="483" spans="1:13" x14ac:dyDescent="0.35">
      <c r="A483" t="s">
        <v>540</v>
      </c>
      <c r="B483" t="s">
        <v>79</v>
      </c>
      <c r="C483" t="s">
        <v>27</v>
      </c>
      <c r="D483" t="s">
        <v>70</v>
      </c>
      <c r="E483">
        <v>24898</v>
      </c>
      <c r="F483">
        <v>23089</v>
      </c>
      <c r="G483" s="16" t="s">
        <v>17</v>
      </c>
      <c r="H483" s="3">
        <v>45401</v>
      </c>
      <c r="I483" s="3">
        <v>45407</v>
      </c>
      <c r="J483" t="s">
        <v>50</v>
      </c>
      <c r="K483" t="s">
        <v>43</v>
      </c>
      <c r="L483">
        <v>6</v>
      </c>
      <c r="M483" t="s">
        <v>51</v>
      </c>
    </row>
    <row r="484" spans="1:13" x14ac:dyDescent="0.35">
      <c r="A484" t="s">
        <v>541</v>
      </c>
      <c r="B484" t="s">
        <v>96</v>
      </c>
      <c r="C484" t="s">
        <v>46</v>
      </c>
      <c r="D484" t="s">
        <v>55</v>
      </c>
      <c r="E484">
        <v>38787</v>
      </c>
      <c r="F484">
        <v>38553</v>
      </c>
      <c r="G484" s="16" t="s">
        <v>17</v>
      </c>
      <c r="H484" s="3">
        <v>45634</v>
      </c>
      <c r="I484" s="3">
        <v>45640</v>
      </c>
      <c r="J484" t="s">
        <v>50</v>
      </c>
      <c r="K484" t="s">
        <v>47</v>
      </c>
      <c r="L484">
        <v>6</v>
      </c>
      <c r="M484" t="s">
        <v>62</v>
      </c>
    </row>
    <row r="485" spans="1:13" x14ac:dyDescent="0.35">
      <c r="A485" t="s">
        <v>542</v>
      </c>
      <c r="B485" t="s">
        <v>53</v>
      </c>
      <c r="C485" t="s">
        <v>46</v>
      </c>
      <c r="D485" t="s">
        <v>23</v>
      </c>
      <c r="E485">
        <v>46731</v>
      </c>
      <c r="F485">
        <v>45950</v>
      </c>
      <c r="G485" s="16" t="s">
        <v>17</v>
      </c>
      <c r="H485" s="3">
        <v>45350</v>
      </c>
      <c r="I485" s="3">
        <v>45357</v>
      </c>
      <c r="J485" t="s">
        <v>50</v>
      </c>
      <c r="K485" t="s">
        <v>19</v>
      </c>
      <c r="L485">
        <v>7</v>
      </c>
      <c r="M485" t="s">
        <v>20</v>
      </c>
    </row>
    <row r="486" spans="1:13" x14ac:dyDescent="0.35">
      <c r="A486" t="s">
        <v>543</v>
      </c>
      <c r="B486" t="s">
        <v>96</v>
      </c>
      <c r="C486" t="s">
        <v>15</v>
      </c>
      <c r="D486" t="s">
        <v>34</v>
      </c>
      <c r="E486">
        <v>35705</v>
      </c>
      <c r="F486">
        <v>0</v>
      </c>
      <c r="G486" s="16" t="s">
        <v>29</v>
      </c>
      <c r="H486" s="3">
        <v>45520</v>
      </c>
      <c r="I486" s="3"/>
      <c r="J486" t="s">
        <v>50</v>
      </c>
      <c r="K486" t="s">
        <v>47</v>
      </c>
      <c r="M486" t="s">
        <v>44</v>
      </c>
    </row>
    <row r="487" spans="1:13" x14ac:dyDescent="0.35">
      <c r="A487" t="s">
        <v>544</v>
      </c>
      <c r="B487" t="s">
        <v>96</v>
      </c>
      <c r="C487" t="s">
        <v>46</v>
      </c>
      <c r="D487" t="s">
        <v>34</v>
      </c>
      <c r="E487">
        <v>35678</v>
      </c>
      <c r="F487">
        <v>33737</v>
      </c>
      <c r="G487" s="16" t="s">
        <v>17</v>
      </c>
      <c r="H487" s="3">
        <v>45341</v>
      </c>
      <c r="I487" s="3">
        <v>45344</v>
      </c>
      <c r="J487" t="s">
        <v>18</v>
      </c>
      <c r="K487" t="s">
        <v>56</v>
      </c>
      <c r="L487">
        <v>3</v>
      </c>
      <c r="M487" t="s">
        <v>20</v>
      </c>
    </row>
    <row r="488" spans="1:13" x14ac:dyDescent="0.35">
      <c r="A488" t="s">
        <v>545</v>
      </c>
      <c r="B488" t="s">
        <v>14</v>
      </c>
      <c r="C488" t="s">
        <v>46</v>
      </c>
      <c r="D488" t="s">
        <v>28</v>
      </c>
      <c r="E488">
        <v>46918</v>
      </c>
      <c r="F488">
        <v>45207</v>
      </c>
      <c r="G488" s="16" t="s">
        <v>17</v>
      </c>
      <c r="H488" s="3">
        <v>45345</v>
      </c>
      <c r="I488" s="3">
        <v>45349</v>
      </c>
      <c r="J488" t="s">
        <v>50</v>
      </c>
      <c r="K488" t="s">
        <v>56</v>
      </c>
      <c r="L488">
        <v>4</v>
      </c>
      <c r="M488" t="s">
        <v>20</v>
      </c>
    </row>
    <row r="489" spans="1:13" x14ac:dyDescent="0.35">
      <c r="A489" t="s">
        <v>546</v>
      </c>
      <c r="B489" t="s">
        <v>14</v>
      </c>
      <c r="C489" t="s">
        <v>73</v>
      </c>
      <c r="D489" t="s">
        <v>23</v>
      </c>
      <c r="E489">
        <v>32095</v>
      </c>
      <c r="F489">
        <v>32018</v>
      </c>
      <c r="G489" s="16" t="s">
        <v>17</v>
      </c>
      <c r="H489" s="3">
        <v>45336</v>
      </c>
      <c r="I489" s="3">
        <v>45338</v>
      </c>
      <c r="J489" t="s">
        <v>18</v>
      </c>
      <c r="K489" t="s">
        <v>47</v>
      </c>
      <c r="L489">
        <v>2</v>
      </c>
      <c r="M489" t="s">
        <v>20</v>
      </c>
    </row>
    <row r="490" spans="1:13" x14ac:dyDescent="0.35">
      <c r="A490" t="s">
        <v>547</v>
      </c>
      <c r="B490" t="s">
        <v>96</v>
      </c>
      <c r="C490" t="s">
        <v>15</v>
      </c>
      <c r="D490" t="s">
        <v>28</v>
      </c>
      <c r="E490">
        <v>18950</v>
      </c>
      <c r="F490">
        <v>18156</v>
      </c>
      <c r="G490" s="16" t="s">
        <v>17</v>
      </c>
      <c r="H490" s="3">
        <v>45522</v>
      </c>
      <c r="I490" s="3">
        <v>45529</v>
      </c>
      <c r="J490" t="s">
        <v>50</v>
      </c>
      <c r="K490" t="s">
        <v>43</v>
      </c>
      <c r="L490">
        <v>7</v>
      </c>
      <c r="M490" t="s">
        <v>44</v>
      </c>
    </row>
    <row r="491" spans="1:13" x14ac:dyDescent="0.35">
      <c r="A491" t="s">
        <v>548</v>
      </c>
      <c r="B491" t="s">
        <v>60</v>
      </c>
      <c r="C491" t="s">
        <v>27</v>
      </c>
      <c r="D491" t="s">
        <v>70</v>
      </c>
      <c r="E491">
        <v>37050</v>
      </c>
      <c r="F491">
        <v>35737</v>
      </c>
      <c r="G491" s="16" t="s">
        <v>17</v>
      </c>
      <c r="H491" s="3">
        <v>45608</v>
      </c>
      <c r="I491" s="3">
        <v>45610</v>
      </c>
      <c r="J491" t="s">
        <v>18</v>
      </c>
      <c r="K491" t="s">
        <v>56</v>
      </c>
      <c r="L491">
        <v>2</v>
      </c>
      <c r="M491" t="s">
        <v>48</v>
      </c>
    </row>
    <row r="492" spans="1:13" x14ac:dyDescent="0.35">
      <c r="A492" t="s">
        <v>549</v>
      </c>
      <c r="B492" t="s">
        <v>14</v>
      </c>
      <c r="C492" t="s">
        <v>38</v>
      </c>
      <c r="D492" t="s">
        <v>70</v>
      </c>
      <c r="E492">
        <v>20994</v>
      </c>
      <c r="F492">
        <v>19752</v>
      </c>
      <c r="G492" s="16" t="s">
        <v>17</v>
      </c>
      <c r="H492" s="3">
        <v>45336</v>
      </c>
      <c r="I492" s="3">
        <v>45341</v>
      </c>
      <c r="J492" t="s">
        <v>50</v>
      </c>
      <c r="K492" t="s">
        <v>35</v>
      </c>
      <c r="L492">
        <v>5</v>
      </c>
      <c r="M492" t="s">
        <v>20</v>
      </c>
    </row>
    <row r="493" spans="1:13" x14ac:dyDescent="0.35">
      <c r="A493" t="s">
        <v>550</v>
      </c>
      <c r="B493" t="s">
        <v>22</v>
      </c>
      <c r="C493" t="s">
        <v>15</v>
      </c>
      <c r="D493" t="s">
        <v>55</v>
      </c>
      <c r="E493">
        <v>12244</v>
      </c>
      <c r="F493">
        <v>0</v>
      </c>
      <c r="G493" s="16" t="s">
        <v>29</v>
      </c>
      <c r="H493" s="3">
        <v>45404</v>
      </c>
      <c r="I493" s="3"/>
      <c r="J493" t="s">
        <v>18</v>
      </c>
      <c r="K493" t="s">
        <v>56</v>
      </c>
      <c r="M493" t="s">
        <v>51</v>
      </c>
    </row>
    <row r="494" spans="1:13" x14ac:dyDescent="0.35">
      <c r="A494" t="s">
        <v>551</v>
      </c>
      <c r="B494" t="s">
        <v>22</v>
      </c>
      <c r="C494" t="s">
        <v>38</v>
      </c>
      <c r="D494" t="s">
        <v>61</v>
      </c>
      <c r="E494">
        <v>21533</v>
      </c>
      <c r="F494">
        <v>19573</v>
      </c>
      <c r="G494" s="16" t="s">
        <v>17</v>
      </c>
      <c r="H494" s="3">
        <v>45297</v>
      </c>
      <c r="I494" s="3">
        <v>45306</v>
      </c>
      <c r="J494" t="s">
        <v>18</v>
      </c>
      <c r="K494" t="s">
        <v>47</v>
      </c>
      <c r="L494">
        <v>9</v>
      </c>
      <c r="M494" t="s">
        <v>39</v>
      </c>
    </row>
    <row r="495" spans="1:13" x14ac:dyDescent="0.35">
      <c r="A495" t="s">
        <v>552</v>
      </c>
      <c r="B495" t="s">
        <v>60</v>
      </c>
      <c r="C495" t="s">
        <v>15</v>
      </c>
      <c r="D495" t="s">
        <v>58</v>
      </c>
      <c r="E495">
        <v>37202</v>
      </c>
      <c r="F495">
        <v>0</v>
      </c>
      <c r="G495" s="16" t="s">
        <v>29</v>
      </c>
      <c r="H495" s="3">
        <v>45335</v>
      </c>
      <c r="I495" s="3"/>
      <c r="J495" t="s">
        <v>50</v>
      </c>
      <c r="K495" t="s">
        <v>47</v>
      </c>
      <c r="M495" t="s">
        <v>20</v>
      </c>
    </row>
    <row r="496" spans="1:13" x14ac:dyDescent="0.35">
      <c r="A496" t="s">
        <v>553</v>
      </c>
      <c r="B496" t="s">
        <v>41</v>
      </c>
      <c r="C496" t="s">
        <v>46</v>
      </c>
      <c r="D496" t="s">
        <v>58</v>
      </c>
      <c r="E496">
        <v>44331</v>
      </c>
      <c r="F496">
        <v>0</v>
      </c>
      <c r="G496" s="16" t="s">
        <v>29</v>
      </c>
      <c r="H496" s="3">
        <v>45364</v>
      </c>
      <c r="I496" s="3"/>
      <c r="J496" t="s">
        <v>18</v>
      </c>
      <c r="K496" t="s">
        <v>47</v>
      </c>
      <c r="M496" t="s">
        <v>67</v>
      </c>
    </row>
    <row r="497" spans="1:13" x14ac:dyDescent="0.35">
      <c r="A497" t="s">
        <v>554</v>
      </c>
      <c r="B497" t="s">
        <v>26</v>
      </c>
      <c r="C497" t="s">
        <v>38</v>
      </c>
      <c r="D497" t="s">
        <v>28</v>
      </c>
      <c r="E497">
        <v>9511</v>
      </c>
      <c r="F497">
        <v>8137</v>
      </c>
      <c r="G497" s="16" t="s">
        <v>17</v>
      </c>
      <c r="H497" s="3">
        <v>45582</v>
      </c>
      <c r="I497" s="3">
        <v>45583</v>
      </c>
      <c r="J497" t="s">
        <v>50</v>
      </c>
      <c r="K497" t="s">
        <v>56</v>
      </c>
      <c r="L497">
        <v>1</v>
      </c>
      <c r="M497" t="s">
        <v>76</v>
      </c>
    </row>
    <row r="498" spans="1:13" x14ac:dyDescent="0.35">
      <c r="A498" t="s">
        <v>555</v>
      </c>
      <c r="B498" t="s">
        <v>79</v>
      </c>
      <c r="C498" t="s">
        <v>15</v>
      </c>
      <c r="D498" t="s">
        <v>16</v>
      </c>
      <c r="E498">
        <v>46019</v>
      </c>
      <c r="F498">
        <v>45506</v>
      </c>
      <c r="G498" s="16" t="s">
        <v>17</v>
      </c>
      <c r="H498" s="3">
        <v>45342</v>
      </c>
      <c r="I498" s="3">
        <v>45346</v>
      </c>
      <c r="J498" t="s">
        <v>50</v>
      </c>
      <c r="K498" t="s">
        <v>43</v>
      </c>
      <c r="L498">
        <v>4</v>
      </c>
      <c r="M498" t="s">
        <v>20</v>
      </c>
    </row>
    <row r="499" spans="1:13" x14ac:dyDescent="0.35">
      <c r="A499" t="s">
        <v>556</v>
      </c>
      <c r="B499" t="s">
        <v>41</v>
      </c>
      <c r="C499" t="s">
        <v>73</v>
      </c>
      <c r="D499" t="s">
        <v>28</v>
      </c>
      <c r="E499">
        <v>8556</v>
      </c>
      <c r="F499">
        <v>7288</v>
      </c>
      <c r="G499" s="16" t="s">
        <v>17</v>
      </c>
      <c r="H499" s="3">
        <v>45327</v>
      </c>
      <c r="I499" s="3">
        <v>45331</v>
      </c>
      <c r="J499" t="s">
        <v>50</v>
      </c>
      <c r="K499" t="s">
        <v>35</v>
      </c>
      <c r="L499">
        <v>4</v>
      </c>
      <c r="M499" t="s">
        <v>20</v>
      </c>
    </row>
    <row r="500" spans="1:13" x14ac:dyDescent="0.35">
      <c r="A500" t="s">
        <v>557</v>
      </c>
      <c r="B500" t="s">
        <v>72</v>
      </c>
      <c r="C500" t="s">
        <v>38</v>
      </c>
      <c r="D500" t="s">
        <v>16</v>
      </c>
      <c r="E500">
        <v>47446</v>
      </c>
      <c r="F500">
        <v>0</v>
      </c>
      <c r="G500" s="16" t="s">
        <v>29</v>
      </c>
      <c r="H500" s="3">
        <v>45370</v>
      </c>
      <c r="I500" s="3"/>
      <c r="J500" t="s">
        <v>50</v>
      </c>
      <c r="K500" t="s">
        <v>30</v>
      </c>
      <c r="M500" t="s">
        <v>67</v>
      </c>
    </row>
    <row r="501" spans="1:13" x14ac:dyDescent="0.35">
      <c r="A501" t="s">
        <v>558</v>
      </c>
      <c r="B501" t="s">
        <v>41</v>
      </c>
      <c r="C501" t="s">
        <v>27</v>
      </c>
      <c r="D501" t="s">
        <v>61</v>
      </c>
      <c r="E501">
        <v>2316</v>
      </c>
      <c r="F501">
        <v>1812</v>
      </c>
      <c r="G501" s="16" t="s">
        <v>17</v>
      </c>
      <c r="H501" s="3">
        <v>45405</v>
      </c>
      <c r="I501" s="3">
        <v>45412</v>
      </c>
      <c r="J501" t="s">
        <v>50</v>
      </c>
      <c r="K501" t="s">
        <v>30</v>
      </c>
      <c r="L501">
        <v>7</v>
      </c>
      <c r="M501" t="s">
        <v>51</v>
      </c>
    </row>
    <row r="502" spans="1:13" x14ac:dyDescent="0.35">
      <c r="A502" t="s">
        <v>559</v>
      </c>
      <c r="B502" t="s">
        <v>41</v>
      </c>
      <c r="C502" t="s">
        <v>73</v>
      </c>
      <c r="D502" t="s">
        <v>34</v>
      </c>
      <c r="E502">
        <v>33454</v>
      </c>
      <c r="F502">
        <v>32542</v>
      </c>
      <c r="G502" s="16" t="s">
        <v>17</v>
      </c>
      <c r="H502" s="3">
        <v>45475</v>
      </c>
      <c r="I502" s="3">
        <v>45480</v>
      </c>
      <c r="J502" t="s">
        <v>50</v>
      </c>
      <c r="K502" t="s">
        <v>19</v>
      </c>
      <c r="L502">
        <v>5</v>
      </c>
      <c r="M502" t="s">
        <v>85</v>
      </c>
    </row>
    <row r="503" spans="1:13" x14ac:dyDescent="0.35">
      <c r="A503" t="s">
        <v>560</v>
      </c>
      <c r="B503" t="s">
        <v>14</v>
      </c>
      <c r="C503" t="s">
        <v>73</v>
      </c>
      <c r="D503" t="s">
        <v>70</v>
      </c>
      <c r="E503">
        <v>20390</v>
      </c>
      <c r="F503">
        <v>18565</v>
      </c>
      <c r="G503" s="16" t="s">
        <v>17</v>
      </c>
      <c r="H503" s="3">
        <v>45567</v>
      </c>
      <c r="I503" s="3">
        <v>45571</v>
      </c>
      <c r="J503" t="s">
        <v>50</v>
      </c>
      <c r="K503" t="s">
        <v>56</v>
      </c>
      <c r="L503">
        <v>4</v>
      </c>
      <c r="M503" t="s">
        <v>76</v>
      </c>
    </row>
    <row r="504" spans="1:13" x14ac:dyDescent="0.35">
      <c r="A504" t="s">
        <v>561</v>
      </c>
      <c r="B504" t="s">
        <v>14</v>
      </c>
      <c r="C504" t="s">
        <v>15</v>
      </c>
      <c r="D504" t="s">
        <v>23</v>
      </c>
      <c r="E504">
        <v>35238</v>
      </c>
      <c r="F504">
        <v>33574</v>
      </c>
      <c r="G504" s="16" t="s">
        <v>17</v>
      </c>
      <c r="H504" s="3">
        <v>45589</v>
      </c>
      <c r="I504" s="3">
        <v>45599</v>
      </c>
      <c r="J504" t="s">
        <v>50</v>
      </c>
      <c r="K504" t="s">
        <v>30</v>
      </c>
      <c r="L504">
        <v>10</v>
      </c>
      <c r="M504" t="s">
        <v>76</v>
      </c>
    </row>
    <row r="505" spans="1:13" x14ac:dyDescent="0.35">
      <c r="A505" t="s">
        <v>562</v>
      </c>
      <c r="B505" t="s">
        <v>53</v>
      </c>
      <c r="C505" t="s">
        <v>46</v>
      </c>
      <c r="D505" t="s">
        <v>23</v>
      </c>
      <c r="E505">
        <v>38149</v>
      </c>
      <c r="F505">
        <v>37036</v>
      </c>
      <c r="G505" s="16" t="s">
        <v>17</v>
      </c>
      <c r="H505" s="3">
        <v>45568</v>
      </c>
      <c r="I505" s="3">
        <v>45576</v>
      </c>
      <c r="J505" t="s">
        <v>18</v>
      </c>
      <c r="K505" t="s">
        <v>43</v>
      </c>
      <c r="L505">
        <v>8</v>
      </c>
      <c r="M505" t="s">
        <v>76</v>
      </c>
    </row>
    <row r="506" spans="1:13" x14ac:dyDescent="0.35">
      <c r="A506" t="s">
        <v>563</v>
      </c>
      <c r="B506" t="s">
        <v>22</v>
      </c>
      <c r="C506" t="s">
        <v>46</v>
      </c>
      <c r="D506" t="s">
        <v>16</v>
      </c>
      <c r="E506">
        <v>10774</v>
      </c>
      <c r="F506">
        <v>9748</v>
      </c>
      <c r="G506" s="16" t="s">
        <v>17</v>
      </c>
      <c r="H506" s="3">
        <v>45553</v>
      </c>
      <c r="I506" s="3">
        <v>45555</v>
      </c>
      <c r="J506" t="s">
        <v>50</v>
      </c>
      <c r="K506" t="s">
        <v>43</v>
      </c>
      <c r="L506">
        <v>2</v>
      </c>
      <c r="M506" t="s">
        <v>24</v>
      </c>
    </row>
    <row r="507" spans="1:13" x14ac:dyDescent="0.35">
      <c r="A507" t="s">
        <v>564</v>
      </c>
      <c r="B507" t="s">
        <v>79</v>
      </c>
      <c r="C507" t="s">
        <v>15</v>
      </c>
      <c r="D507" t="s">
        <v>28</v>
      </c>
      <c r="E507">
        <v>42241</v>
      </c>
      <c r="F507">
        <v>40691</v>
      </c>
      <c r="G507" s="16" t="s">
        <v>17</v>
      </c>
      <c r="H507" s="3">
        <v>45555</v>
      </c>
      <c r="I507" s="3">
        <v>45558</v>
      </c>
      <c r="J507" t="s">
        <v>50</v>
      </c>
      <c r="K507" t="s">
        <v>47</v>
      </c>
      <c r="L507">
        <v>3</v>
      </c>
      <c r="M507" t="s">
        <v>24</v>
      </c>
    </row>
    <row r="508" spans="1:13" x14ac:dyDescent="0.35">
      <c r="A508" t="s">
        <v>565</v>
      </c>
      <c r="B508" t="s">
        <v>33</v>
      </c>
      <c r="C508" t="s">
        <v>73</v>
      </c>
      <c r="D508" t="s">
        <v>55</v>
      </c>
      <c r="E508">
        <v>25514</v>
      </c>
      <c r="F508">
        <v>25066</v>
      </c>
      <c r="G508" s="16" t="s">
        <v>17</v>
      </c>
      <c r="H508" s="3">
        <v>45541</v>
      </c>
      <c r="I508" s="3">
        <v>45545</v>
      </c>
      <c r="J508" t="s">
        <v>18</v>
      </c>
      <c r="K508" t="s">
        <v>43</v>
      </c>
      <c r="L508">
        <v>4</v>
      </c>
      <c r="M508" t="s">
        <v>24</v>
      </c>
    </row>
    <row r="509" spans="1:13" x14ac:dyDescent="0.35">
      <c r="A509" t="s">
        <v>566</v>
      </c>
      <c r="B509" t="s">
        <v>41</v>
      </c>
      <c r="C509" t="s">
        <v>46</v>
      </c>
      <c r="D509" t="s">
        <v>23</v>
      </c>
      <c r="E509">
        <v>45816</v>
      </c>
      <c r="F509">
        <v>44756</v>
      </c>
      <c r="G509" s="16" t="s">
        <v>17</v>
      </c>
      <c r="H509" s="3">
        <v>45476</v>
      </c>
      <c r="I509" s="3">
        <v>45483</v>
      </c>
      <c r="J509" t="s">
        <v>50</v>
      </c>
      <c r="K509" t="s">
        <v>35</v>
      </c>
      <c r="L509">
        <v>7</v>
      </c>
      <c r="M509" t="s">
        <v>85</v>
      </c>
    </row>
    <row r="510" spans="1:13" x14ac:dyDescent="0.35">
      <c r="A510" t="s">
        <v>567</v>
      </c>
      <c r="B510" t="s">
        <v>60</v>
      </c>
      <c r="C510" t="s">
        <v>15</v>
      </c>
      <c r="D510" t="s">
        <v>34</v>
      </c>
      <c r="E510">
        <v>8764</v>
      </c>
      <c r="F510">
        <v>0</v>
      </c>
      <c r="G510" s="16" t="s">
        <v>29</v>
      </c>
      <c r="H510" s="3">
        <v>45616</v>
      </c>
      <c r="I510" s="3"/>
      <c r="J510" t="s">
        <v>50</v>
      </c>
      <c r="K510" t="s">
        <v>30</v>
      </c>
      <c r="M510" t="s">
        <v>48</v>
      </c>
    </row>
    <row r="511" spans="1:13" x14ac:dyDescent="0.35">
      <c r="A511" t="s">
        <v>568</v>
      </c>
      <c r="B511" t="s">
        <v>96</v>
      </c>
      <c r="C511" t="s">
        <v>73</v>
      </c>
      <c r="D511" t="s">
        <v>58</v>
      </c>
      <c r="E511">
        <v>44839</v>
      </c>
      <c r="F511">
        <v>44091</v>
      </c>
      <c r="G511" s="16" t="s">
        <v>17</v>
      </c>
      <c r="H511" s="3">
        <v>45592</v>
      </c>
      <c r="I511" s="3">
        <v>45594</v>
      </c>
      <c r="J511" t="s">
        <v>50</v>
      </c>
      <c r="K511" t="s">
        <v>35</v>
      </c>
      <c r="L511">
        <v>2</v>
      </c>
      <c r="M511" t="s">
        <v>76</v>
      </c>
    </row>
    <row r="512" spans="1:13" x14ac:dyDescent="0.35">
      <c r="A512" t="s">
        <v>569</v>
      </c>
      <c r="B512" t="s">
        <v>26</v>
      </c>
      <c r="C512" t="s">
        <v>27</v>
      </c>
      <c r="D512" t="s">
        <v>34</v>
      </c>
      <c r="E512">
        <v>24612</v>
      </c>
      <c r="F512">
        <v>22989</v>
      </c>
      <c r="G512" s="16" t="s">
        <v>17</v>
      </c>
      <c r="H512" s="3">
        <v>45538</v>
      </c>
      <c r="I512" s="3">
        <v>45548</v>
      </c>
      <c r="J512" t="s">
        <v>18</v>
      </c>
      <c r="K512" t="s">
        <v>19</v>
      </c>
      <c r="L512">
        <v>10</v>
      </c>
      <c r="M512" t="s">
        <v>24</v>
      </c>
    </row>
    <row r="513" spans="1:13" x14ac:dyDescent="0.35">
      <c r="A513" t="s">
        <v>570</v>
      </c>
      <c r="B513" t="s">
        <v>33</v>
      </c>
      <c r="C513" t="s">
        <v>64</v>
      </c>
      <c r="D513" t="s">
        <v>61</v>
      </c>
      <c r="E513">
        <v>17072</v>
      </c>
      <c r="F513">
        <v>16019</v>
      </c>
      <c r="G513" s="16" t="s">
        <v>17</v>
      </c>
      <c r="H513" s="3">
        <v>45621</v>
      </c>
      <c r="I513" s="3">
        <v>45626</v>
      </c>
      <c r="J513" t="s">
        <v>18</v>
      </c>
      <c r="K513" t="s">
        <v>47</v>
      </c>
      <c r="L513">
        <v>5</v>
      </c>
      <c r="M513" t="s">
        <v>48</v>
      </c>
    </row>
    <row r="514" spans="1:13" x14ac:dyDescent="0.35">
      <c r="A514" t="s">
        <v>571</v>
      </c>
      <c r="B514" t="s">
        <v>33</v>
      </c>
      <c r="C514" t="s">
        <v>73</v>
      </c>
      <c r="D514" t="s">
        <v>34</v>
      </c>
      <c r="E514">
        <v>41454</v>
      </c>
      <c r="F514">
        <v>40101</v>
      </c>
      <c r="G514" s="16" t="s">
        <v>17</v>
      </c>
      <c r="H514" s="3">
        <v>45409</v>
      </c>
      <c r="I514" s="3">
        <v>45416</v>
      </c>
      <c r="J514" t="s">
        <v>50</v>
      </c>
      <c r="K514" t="s">
        <v>56</v>
      </c>
      <c r="L514">
        <v>7</v>
      </c>
      <c r="M514" t="s">
        <v>51</v>
      </c>
    </row>
    <row r="515" spans="1:13" x14ac:dyDescent="0.35">
      <c r="A515" t="s">
        <v>572</v>
      </c>
      <c r="B515" t="s">
        <v>14</v>
      </c>
      <c r="C515" t="s">
        <v>64</v>
      </c>
      <c r="D515" t="s">
        <v>55</v>
      </c>
      <c r="E515">
        <v>33393</v>
      </c>
      <c r="F515">
        <v>32184</v>
      </c>
      <c r="G515" s="16" t="s">
        <v>17</v>
      </c>
      <c r="H515" s="3">
        <v>45374</v>
      </c>
      <c r="I515" s="3">
        <v>45381</v>
      </c>
      <c r="J515" t="s">
        <v>18</v>
      </c>
      <c r="K515" t="s">
        <v>47</v>
      </c>
      <c r="L515">
        <v>7</v>
      </c>
      <c r="M515" t="s">
        <v>67</v>
      </c>
    </row>
    <row r="516" spans="1:13" x14ac:dyDescent="0.35">
      <c r="A516" t="s">
        <v>573</v>
      </c>
      <c r="B516" t="s">
        <v>60</v>
      </c>
      <c r="C516" t="s">
        <v>73</v>
      </c>
      <c r="D516" t="s">
        <v>61</v>
      </c>
      <c r="E516">
        <v>10829</v>
      </c>
      <c r="F516">
        <v>0</v>
      </c>
      <c r="G516" s="16" t="s">
        <v>29</v>
      </c>
      <c r="H516" s="3">
        <v>45312</v>
      </c>
      <c r="I516" s="3"/>
      <c r="J516" t="s">
        <v>18</v>
      </c>
      <c r="K516" t="s">
        <v>47</v>
      </c>
      <c r="M516" t="s">
        <v>39</v>
      </c>
    </row>
    <row r="517" spans="1:13" x14ac:dyDescent="0.35">
      <c r="A517" t="s">
        <v>574</v>
      </c>
      <c r="B517" t="s">
        <v>33</v>
      </c>
      <c r="C517" t="s">
        <v>38</v>
      </c>
      <c r="D517" t="s">
        <v>61</v>
      </c>
      <c r="E517">
        <v>35858</v>
      </c>
      <c r="F517">
        <v>34631</v>
      </c>
      <c r="G517" s="16" t="s">
        <v>17</v>
      </c>
      <c r="H517" s="3">
        <v>45580</v>
      </c>
      <c r="I517" s="3">
        <v>45581</v>
      </c>
      <c r="J517" t="s">
        <v>50</v>
      </c>
      <c r="K517" t="s">
        <v>47</v>
      </c>
      <c r="L517">
        <v>1</v>
      </c>
      <c r="M517" t="s">
        <v>76</v>
      </c>
    </row>
    <row r="518" spans="1:13" x14ac:dyDescent="0.35">
      <c r="A518" t="s">
        <v>575</v>
      </c>
      <c r="B518" t="s">
        <v>26</v>
      </c>
      <c r="C518" t="s">
        <v>64</v>
      </c>
      <c r="D518" t="s">
        <v>55</v>
      </c>
      <c r="E518">
        <v>33566</v>
      </c>
      <c r="F518">
        <v>33117</v>
      </c>
      <c r="G518" s="16" t="s">
        <v>17</v>
      </c>
      <c r="H518" s="3">
        <v>45502</v>
      </c>
      <c r="I518" s="3">
        <v>45512</v>
      </c>
      <c r="J518" t="s">
        <v>18</v>
      </c>
      <c r="K518" t="s">
        <v>30</v>
      </c>
      <c r="L518">
        <v>10</v>
      </c>
      <c r="M518" t="s">
        <v>85</v>
      </c>
    </row>
    <row r="519" spans="1:13" x14ac:dyDescent="0.35">
      <c r="A519" t="s">
        <v>576</v>
      </c>
      <c r="B519" t="s">
        <v>53</v>
      </c>
      <c r="C519" t="s">
        <v>73</v>
      </c>
      <c r="D519" t="s">
        <v>16</v>
      </c>
      <c r="E519">
        <v>12991</v>
      </c>
      <c r="F519">
        <v>11103</v>
      </c>
      <c r="G519" s="16" t="s">
        <v>17</v>
      </c>
      <c r="H519" s="3">
        <v>45524</v>
      </c>
      <c r="I519" s="3">
        <v>45534</v>
      </c>
      <c r="J519" t="s">
        <v>18</v>
      </c>
      <c r="K519" t="s">
        <v>47</v>
      </c>
      <c r="L519">
        <v>10</v>
      </c>
      <c r="M519" t="s">
        <v>44</v>
      </c>
    </row>
    <row r="520" spans="1:13" x14ac:dyDescent="0.35">
      <c r="A520" t="s">
        <v>577</v>
      </c>
      <c r="B520" t="s">
        <v>22</v>
      </c>
      <c r="C520" t="s">
        <v>27</v>
      </c>
      <c r="D520" t="s">
        <v>61</v>
      </c>
      <c r="E520">
        <v>9115</v>
      </c>
      <c r="F520">
        <v>8701</v>
      </c>
      <c r="G520" s="16" t="s">
        <v>17</v>
      </c>
      <c r="H520" s="3">
        <v>45559</v>
      </c>
      <c r="I520" s="3">
        <v>45568</v>
      </c>
      <c r="J520" t="s">
        <v>50</v>
      </c>
      <c r="K520" t="s">
        <v>30</v>
      </c>
      <c r="L520">
        <v>9</v>
      </c>
      <c r="M520" t="s">
        <v>24</v>
      </c>
    </row>
    <row r="521" spans="1:13" x14ac:dyDescent="0.35">
      <c r="A521" t="s">
        <v>578</v>
      </c>
      <c r="B521" t="s">
        <v>33</v>
      </c>
      <c r="C521" t="s">
        <v>15</v>
      </c>
      <c r="D521" t="s">
        <v>61</v>
      </c>
      <c r="E521">
        <v>33186</v>
      </c>
      <c r="F521">
        <v>0</v>
      </c>
      <c r="G521" s="16" t="s">
        <v>29</v>
      </c>
      <c r="H521" s="3">
        <v>45599</v>
      </c>
      <c r="I521" s="3"/>
      <c r="J521" t="s">
        <v>18</v>
      </c>
      <c r="K521" t="s">
        <v>30</v>
      </c>
      <c r="M521" t="s">
        <v>48</v>
      </c>
    </row>
    <row r="522" spans="1:13" x14ac:dyDescent="0.35">
      <c r="A522" t="s">
        <v>579</v>
      </c>
      <c r="B522" t="s">
        <v>79</v>
      </c>
      <c r="C522" t="s">
        <v>15</v>
      </c>
      <c r="D522" t="s">
        <v>70</v>
      </c>
      <c r="E522">
        <v>33604</v>
      </c>
      <c r="F522">
        <v>31757</v>
      </c>
      <c r="G522" s="16" t="s">
        <v>17</v>
      </c>
      <c r="H522" s="3">
        <v>45600</v>
      </c>
      <c r="I522" s="3">
        <v>45609</v>
      </c>
      <c r="J522" t="s">
        <v>18</v>
      </c>
      <c r="K522" t="s">
        <v>30</v>
      </c>
      <c r="L522">
        <v>9</v>
      </c>
      <c r="M522" t="s">
        <v>48</v>
      </c>
    </row>
    <row r="523" spans="1:13" x14ac:dyDescent="0.35">
      <c r="A523" t="s">
        <v>580</v>
      </c>
      <c r="B523" t="s">
        <v>22</v>
      </c>
      <c r="C523" t="s">
        <v>27</v>
      </c>
      <c r="D523" t="s">
        <v>34</v>
      </c>
      <c r="E523">
        <v>4846</v>
      </c>
      <c r="F523">
        <v>0</v>
      </c>
      <c r="G523" s="16" t="s">
        <v>29</v>
      </c>
      <c r="H523" s="3">
        <v>45511</v>
      </c>
      <c r="I523" s="3"/>
      <c r="J523" t="s">
        <v>18</v>
      </c>
      <c r="K523" t="s">
        <v>30</v>
      </c>
      <c r="M523" t="s">
        <v>44</v>
      </c>
    </row>
    <row r="524" spans="1:13" x14ac:dyDescent="0.35">
      <c r="A524" t="s">
        <v>581</v>
      </c>
      <c r="B524" t="s">
        <v>72</v>
      </c>
      <c r="C524" t="s">
        <v>27</v>
      </c>
      <c r="D524" t="s">
        <v>34</v>
      </c>
      <c r="E524">
        <v>40603</v>
      </c>
      <c r="F524">
        <v>0</v>
      </c>
      <c r="G524" s="16" t="s">
        <v>29</v>
      </c>
      <c r="H524" s="3">
        <v>45342</v>
      </c>
      <c r="I524" s="3"/>
      <c r="J524" t="s">
        <v>50</v>
      </c>
      <c r="K524" t="s">
        <v>47</v>
      </c>
      <c r="M524" t="s">
        <v>20</v>
      </c>
    </row>
    <row r="525" spans="1:13" x14ac:dyDescent="0.35">
      <c r="A525" t="s">
        <v>582</v>
      </c>
      <c r="B525" t="s">
        <v>96</v>
      </c>
      <c r="C525" t="s">
        <v>64</v>
      </c>
      <c r="D525" t="s">
        <v>28</v>
      </c>
      <c r="E525">
        <v>7493</v>
      </c>
      <c r="F525">
        <v>6268</v>
      </c>
      <c r="G525" s="16" t="s">
        <v>17</v>
      </c>
      <c r="H525" s="3">
        <v>45570</v>
      </c>
      <c r="I525" s="3">
        <v>45577</v>
      </c>
      <c r="J525" t="s">
        <v>50</v>
      </c>
      <c r="K525" t="s">
        <v>47</v>
      </c>
      <c r="L525">
        <v>7</v>
      </c>
      <c r="M525" t="s">
        <v>76</v>
      </c>
    </row>
    <row r="526" spans="1:13" x14ac:dyDescent="0.35">
      <c r="A526" t="s">
        <v>583</v>
      </c>
      <c r="B526" t="s">
        <v>60</v>
      </c>
      <c r="C526" t="s">
        <v>15</v>
      </c>
      <c r="D526" t="s">
        <v>70</v>
      </c>
      <c r="E526">
        <v>36063</v>
      </c>
      <c r="F526">
        <v>35295</v>
      </c>
      <c r="G526" s="16" t="s">
        <v>17</v>
      </c>
      <c r="H526" s="3">
        <v>45627</v>
      </c>
      <c r="I526" s="3">
        <v>45631</v>
      </c>
      <c r="J526" t="s">
        <v>50</v>
      </c>
      <c r="K526" t="s">
        <v>35</v>
      </c>
      <c r="L526">
        <v>4</v>
      </c>
      <c r="M526" t="s">
        <v>62</v>
      </c>
    </row>
    <row r="527" spans="1:13" x14ac:dyDescent="0.35">
      <c r="A527" t="s">
        <v>584</v>
      </c>
      <c r="B527" t="s">
        <v>41</v>
      </c>
      <c r="C527" t="s">
        <v>15</v>
      </c>
      <c r="D527" t="s">
        <v>61</v>
      </c>
      <c r="E527">
        <v>29923</v>
      </c>
      <c r="F527">
        <v>0</v>
      </c>
      <c r="G527" s="16" t="s">
        <v>29</v>
      </c>
      <c r="H527" s="3">
        <v>45421</v>
      </c>
      <c r="I527" s="3"/>
      <c r="J527" t="s">
        <v>50</v>
      </c>
      <c r="K527" t="s">
        <v>30</v>
      </c>
      <c r="M527" t="s">
        <v>31</v>
      </c>
    </row>
    <row r="528" spans="1:13" x14ac:dyDescent="0.35">
      <c r="A528" t="s">
        <v>585</v>
      </c>
      <c r="B528" t="s">
        <v>79</v>
      </c>
      <c r="C528" t="s">
        <v>27</v>
      </c>
      <c r="D528" t="s">
        <v>34</v>
      </c>
      <c r="E528">
        <v>42100</v>
      </c>
      <c r="F528">
        <v>40707</v>
      </c>
      <c r="G528" s="16" t="s">
        <v>17</v>
      </c>
      <c r="H528" s="3">
        <v>45495</v>
      </c>
      <c r="I528" s="3">
        <v>45499</v>
      </c>
      <c r="J528" t="s">
        <v>50</v>
      </c>
      <c r="K528" t="s">
        <v>19</v>
      </c>
      <c r="L528">
        <v>4</v>
      </c>
      <c r="M528" t="s">
        <v>85</v>
      </c>
    </row>
    <row r="529" spans="1:13" x14ac:dyDescent="0.35">
      <c r="A529" t="s">
        <v>586</v>
      </c>
      <c r="B529" t="s">
        <v>79</v>
      </c>
      <c r="C529" t="s">
        <v>64</v>
      </c>
      <c r="D529" t="s">
        <v>61</v>
      </c>
      <c r="E529">
        <v>26262</v>
      </c>
      <c r="F529">
        <v>0</v>
      </c>
      <c r="G529" s="16" t="s">
        <v>29</v>
      </c>
      <c r="H529" s="3">
        <v>45576</v>
      </c>
      <c r="I529" s="3"/>
      <c r="J529" t="s">
        <v>50</v>
      </c>
      <c r="K529" t="s">
        <v>43</v>
      </c>
      <c r="M529" t="s">
        <v>76</v>
      </c>
    </row>
    <row r="530" spans="1:13" x14ac:dyDescent="0.35">
      <c r="A530" t="s">
        <v>587</v>
      </c>
      <c r="B530" t="s">
        <v>96</v>
      </c>
      <c r="C530" t="s">
        <v>38</v>
      </c>
      <c r="D530" t="s">
        <v>58</v>
      </c>
      <c r="E530">
        <v>11048</v>
      </c>
      <c r="F530">
        <v>9517</v>
      </c>
      <c r="G530" s="16" t="s">
        <v>17</v>
      </c>
      <c r="H530" s="3">
        <v>45409</v>
      </c>
      <c r="I530" s="3">
        <v>45417</v>
      </c>
      <c r="J530" t="s">
        <v>18</v>
      </c>
      <c r="K530" t="s">
        <v>47</v>
      </c>
      <c r="L530">
        <v>8</v>
      </c>
      <c r="M530" t="s">
        <v>51</v>
      </c>
    </row>
    <row r="531" spans="1:13" x14ac:dyDescent="0.35">
      <c r="A531" t="s">
        <v>588</v>
      </c>
      <c r="B531" t="s">
        <v>26</v>
      </c>
      <c r="C531" t="s">
        <v>27</v>
      </c>
      <c r="D531" t="s">
        <v>34</v>
      </c>
      <c r="E531">
        <v>38082</v>
      </c>
      <c r="F531">
        <v>0</v>
      </c>
      <c r="G531" s="16" t="s">
        <v>29</v>
      </c>
      <c r="H531" s="3">
        <v>45648</v>
      </c>
      <c r="I531" s="3"/>
      <c r="J531" t="s">
        <v>18</v>
      </c>
      <c r="K531" t="s">
        <v>47</v>
      </c>
      <c r="M531" t="s">
        <v>62</v>
      </c>
    </row>
    <row r="532" spans="1:13" x14ac:dyDescent="0.35">
      <c r="A532" t="s">
        <v>589</v>
      </c>
      <c r="B532" t="s">
        <v>22</v>
      </c>
      <c r="C532" t="s">
        <v>15</v>
      </c>
      <c r="D532" t="s">
        <v>70</v>
      </c>
      <c r="E532">
        <v>11524</v>
      </c>
      <c r="F532">
        <v>9628</v>
      </c>
      <c r="G532" s="16" t="s">
        <v>17</v>
      </c>
      <c r="H532" s="3">
        <v>45599</v>
      </c>
      <c r="I532" s="3">
        <v>45606</v>
      </c>
      <c r="J532" t="s">
        <v>18</v>
      </c>
      <c r="K532" t="s">
        <v>47</v>
      </c>
      <c r="L532">
        <v>7</v>
      </c>
      <c r="M532" t="s">
        <v>48</v>
      </c>
    </row>
    <row r="533" spans="1:13" x14ac:dyDescent="0.35">
      <c r="A533" t="s">
        <v>590</v>
      </c>
      <c r="B533" t="s">
        <v>96</v>
      </c>
      <c r="C533" t="s">
        <v>46</v>
      </c>
      <c r="D533" t="s">
        <v>34</v>
      </c>
      <c r="E533">
        <v>7245</v>
      </c>
      <c r="F533">
        <v>0</v>
      </c>
      <c r="G533" s="16" t="s">
        <v>29</v>
      </c>
      <c r="H533" s="3">
        <v>45311</v>
      </c>
      <c r="I533" s="3"/>
      <c r="J533" t="s">
        <v>50</v>
      </c>
      <c r="K533" t="s">
        <v>35</v>
      </c>
      <c r="M533" t="s">
        <v>39</v>
      </c>
    </row>
    <row r="534" spans="1:13" x14ac:dyDescent="0.35">
      <c r="A534" t="s">
        <v>591</v>
      </c>
      <c r="B534" t="s">
        <v>53</v>
      </c>
      <c r="C534" t="s">
        <v>38</v>
      </c>
      <c r="D534" t="s">
        <v>23</v>
      </c>
      <c r="E534">
        <v>13486</v>
      </c>
      <c r="F534">
        <v>12587</v>
      </c>
      <c r="G534" s="16" t="s">
        <v>17</v>
      </c>
      <c r="H534" s="3">
        <v>45297</v>
      </c>
      <c r="I534" s="3">
        <v>45301</v>
      </c>
      <c r="J534" t="s">
        <v>50</v>
      </c>
      <c r="K534" t="s">
        <v>47</v>
      </c>
      <c r="L534">
        <v>4</v>
      </c>
      <c r="M534" t="s">
        <v>39</v>
      </c>
    </row>
    <row r="535" spans="1:13" x14ac:dyDescent="0.35">
      <c r="A535" t="s">
        <v>592</v>
      </c>
      <c r="B535" t="s">
        <v>60</v>
      </c>
      <c r="C535" t="s">
        <v>46</v>
      </c>
      <c r="D535" t="s">
        <v>61</v>
      </c>
      <c r="E535">
        <v>46172</v>
      </c>
      <c r="F535">
        <v>45436</v>
      </c>
      <c r="G535" s="16" t="s">
        <v>17</v>
      </c>
      <c r="H535" s="3">
        <v>45414</v>
      </c>
      <c r="I535" s="3">
        <v>45415</v>
      </c>
      <c r="J535" t="s">
        <v>18</v>
      </c>
      <c r="K535" t="s">
        <v>47</v>
      </c>
      <c r="L535">
        <v>1</v>
      </c>
      <c r="M535" t="s">
        <v>31</v>
      </c>
    </row>
    <row r="536" spans="1:13" x14ac:dyDescent="0.35">
      <c r="A536" t="s">
        <v>593</v>
      </c>
      <c r="B536" t="s">
        <v>96</v>
      </c>
      <c r="C536" t="s">
        <v>27</v>
      </c>
      <c r="D536" t="s">
        <v>34</v>
      </c>
      <c r="E536">
        <v>45886</v>
      </c>
      <c r="F536">
        <v>45056</v>
      </c>
      <c r="G536" s="16" t="s">
        <v>17</v>
      </c>
      <c r="H536" s="3">
        <v>45592</v>
      </c>
      <c r="I536" s="3">
        <v>45596</v>
      </c>
      <c r="J536" t="s">
        <v>18</v>
      </c>
      <c r="K536" t="s">
        <v>56</v>
      </c>
      <c r="L536">
        <v>4</v>
      </c>
      <c r="M536" t="s">
        <v>76</v>
      </c>
    </row>
    <row r="537" spans="1:13" x14ac:dyDescent="0.35">
      <c r="A537" t="s">
        <v>594</v>
      </c>
      <c r="B537" t="s">
        <v>14</v>
      </c>
      <c r="C537" t="s">
        <v>15</v>
      </c>
      <c r="D537" t="s">
        <v>16</v>
      </c>
      <c r="E537">
        <v>49588</v>
      </c>
      <c r="F537">
        <v>0</v>
      </c>
      <c r="G537" s="16" t="s">
        <v>29</v>
      </c>
      <c r="H537" s="3">
        <v>45590</v>
      </c>
      <c r="I537" s="3"/>
      <c r="J537" t="s">
        <v>50</v>
      </c>
      <c r="K537" t="s">
        <v>43</v>
      </c>
      <c r="M537" t="s">
        <v>76</v>
      </c>
    </row>
    <row r="538" spans="1:13" x14ac:dyDescent="0.35">
      <c r="A538" t="s">
        <v>595</v>
      </c>
      <c r="B538" t="s">
        <v>96</v>
      </c>
      <c r="C538" t="s">
        <v>46</v>
      </c>
      <c r="D538" t="s">
        <v>28</v>
      </c>
      <c r="E538">
        <v>31803</v>
      </c>
      <c r="F538">
        <v>30626</v>
      </c>
      <c r="G538" s="16" t="s">
        <v>17</v>
      </c>
      <c r="H538" s="3">
        <v>45294</v>
      </c>
      <c r="I538" s="3">
        <v>45299</v>
      </c>
      <c r="J538" t="s">
        <v>18</v>
      </c>
      <c r="K538" t="s">
        <v>35</v>
      </c>
      <c r="L538">
        <v>5</v>
      </c>
      <c r="M538" t="s">
        <v>39</v>
      </c>
    </row>
    <row r="539" spans="1:13" x14ac:dyDescent="0.35">
      <c r="A539" t="s">
        <v>596</v>
      </c>
      <c r="B539" t="s">
        <v>79</v>
      </c>
      <c r="C539" t="s">
        <v>15</v>
      </c>
      <c r="D539" t="s">
        <v>70</v>
      </c>
      <c r="E539">
        <v>34975</v>
      </c>
      <c r="F539">
        <v>34279</v>
      </c>
      <c r="G539" s="16" t="s">
        <v>17</v>
      </c>
      <c r="H539" s="3">
        <v>45351</v>
      </c>
      <c r="I539" s="3">
        <v>45360</v>
      </c>
      <c r="J539" t="s">
        <v>50</v>
      </c>
      <c r="K539" t="s">
        <v>19</v>
      </c>
      <c r="L539">
        <v>9</v>
      </c>
      <c r="M539" t="s">
        <v>20</v>
      </c>
    </row>
    <row r="540" spans="1:13" x14ac:dyDescent="0.35">
      <c r="A540" t="s">
        <v>597</v>
      </c>
      <c r="B540" t="s">
        <v>53</v>
      </c>
      <c r="C540" t="s">
        <v>38</v>
      </c>
      <c r="D540" t="s">
        <v>55</v>
      </c>
      <c r="E540">
        <v>26712</v>
      </c>
      <c r="F540">
        <v>0</v>
      </c>
      <c r="G540" s="16" t="s">
        <v>29</v>
      </c>
      <c r="H540" s="3">
        <v>45539</v>
      </c>
      <c r="I540" s="3"/>
      <c r="J540" t="s">
        <v>18</v>
      </c>
      <c r="K540" t="s">
        <v>30</v>
      </c>
      <c r="M540" t="s">
        <v>24</v>
      </c>
    </row>
    <row r="541" spans="1:13" x14ac:dyDescent="0.35">
      <c r="A541" t="s">
        <v>598</v>
      </c>
      <c r="B541" t="s">
        <v>41</v>
      </c>
      <c r="C541" t="s">
        <v>64</v>
      </c>
      <c r="D541" t="s">
        <v>55</v>
      </c>
      <c r="E541">
        <v>40458</v>
      </c>
      <c r="F541">
        <v>39471</v>
      </c>
      <c r="G541" s="16" t="s">
        <v>17</v>
      </c>
      <c r="H541" s="3">
        <v>45351</v>
      </c>
      <c r="I541" s="3">
        <v>45356</v>
      </c>
      <c r="J541" t="s">
        <v>18</v>
      </c>
      <c r="K541" t="s">
        <v>35</v>
      </c>
      <c r="L541">
        <v>5</v>
      </c>
      <c r="M541" t="s">
        <v>20</v>
      </c>
    </row>
    <row r="542" spans="1:13" x14ac:dyDescent="0.35">
      <c r="A542" t="s">
        <v>599</v>
      </c>
      <c r="B542" t="s">
        <v>26</v>
      </c>
      <c r="C542" t="s">
        <v>46</v>
      </c>
      <c r="D542" t="s">
        <v>34</v>
      </c>
      <c r="E542">
        <v>29028</v>
      </c>
      <c r="F542">
        <v>27971</v>
      </c>
      <c r="G542" s="16" t="s">
        <v>17</v>
      </c>
      <c r="H542" s="3">
        <v>45566</v>
      </c>
      <c r="I542" s="3">
        <v>45567</v>
      </c>
      <c r="J542" t="s">
        <v>50</v>
      </c>
      <c r="K542" t="s">
        <v>47</v>
      </c>
      <c r="L542">
        <v>1</v>
      </c>
      <c r="M542" t="s">
        <v>76</v>
      </c>
    </row>
    <row r="543" spans="1:13" x14ac:dyDescent="0.35">
      <c r="A543" t="s">
        <v>600</v>
      </c>
      <c r="B543" t="s">
        <v>96</v>
      </c>
      <c r="C543" t="s">
        <v>15</v>
      </c>
      <c r="D543" t="s">
        <v>58</v>
      </c>
      <c r="E543">
        <v>46151</v>
      </c>
      <c r="F543">
        <v>45996</v>
      </c>
      <c r="G543" s="16" t="s">
        <v>17</v>
      </c>
      <c r="H543" s="3">
        <v>45575</v>
      </c>
      <c r="I543" s="3">
        <v>45578</v>
      </c>
      <c r="J543" t="s">
        <v>50</v>
      </c>
      <c r="K543" t="s">
        <v>43</v>
      </c>
      <c r="L543">
        <v>3</v>
      </c>
      <c r="M543" t="s">
        <v>76</v>
      </c>
    </row>
    <row r="544" spans="1:13" x14ac:dyDescent="0.35">
      <c r="A544" t="s">
        <v>601</v>
      </c>
      <c r="B544" t="s">
        <v>41</v>
      </c>
      <c r="C544" t="s">
        <v>46</v>
      </c>
      <c r="D544" t="s">
        <v>16</v>
      </c>
      <c r="E544">
        <v>13978</v>
      </c>
      <c r="F544">
        <v>12957</v>
      </c>
      <c r="G544" s="16" t="s">
        <v>17</v>
      </c>
      <c r="H544" s="3">
        <v>45394</v>
      </c>
      <c r="I544" s="3">
        <v>45398</v>
      </c>
      <c r="J544" t="s">
        <v>18</v>
      </c>
      <c r="K544" t="s">
        <v>30</v>
      </c>
      <c r="L544">
        <v>4</v>
      </c>
      <c r="M544" t="s">
        <v>51</v>
      </c>
    </row>
    <row r="545" spans="1:13" x14ac:dyDescent="0.35">
      <c r="A545" t="s">
        <v>602</v>
      </c>
      <c r="B545" t="s">
        <v>96</v>
      </c>
      <c r="C545" t="s">
        <v>46</v>
      </c>
      <c r="D545" t="s">
        <v>28</v>
      </c>
      <c r="E545">
        <v>15288</v>
      </c>
      <c r="F545">
        <v>13576</v>
      </c>
      <c r="G545" s="16" t="s">
        <v>17</v>
      </c>
      <c r="H545" s="3">
        <v>45608</v>
      </c>
      <c r="I545" s="3">
        <v>45614</v>
      </c>
      <c r="J545" t="s">
        <v>18</v>
      </c>
      <c r="K545" t="s">
        <v>30</v>
      </c>
      <c r="L545">
        <v>6</v>
      </c>
      <c r="M545" t="s">
        <v>48</v>
      </c>
    </row>
    <row r="546" spans="1:13" x14ac:dyDescent="0.35">
      <c r="A546" t="s">
        <v>603</v>
      </c>
      <c r="B546" t="s">
        <v>14</v>
      </c>
      <c r="C546" t="s">
        <v>15</v>
      </c>
      <c r="D546" t="s">
        <v>70</v>
      </c>
      <c r="E546">
        <v>46290</v>
      </c>
      <c r="F546">
        <v>45033</v>
      </c>
      <c r="G546" s="16" t="s">
        <v>17</v>
      </c>
      <c r="H546" s="3">
        <v>45295</v>
      </c>
      <c r="I546" s="3">
        <v>45304</v>
      </c>
      <c r="J546" t="s">
        <v>18</v>
      </c>
      <c r="K546" t="s">
        <v>30</v>
      </c>
      <c r="L546">
        <v>9</v>
      </c>
      <c r="M546" t="s">
        <v>39</v>
      </c>
    </row>
    <row r="547" spans="1:13" x14ac:dyDescent="0.35">
      <c r="A547" t="s">
        <v>604</v>
      </c>
      <c r="B547" t="s">
        <v>72</v>
      </c>
      <c r="C547" t="s">
        <v>38</v>
      </c>
      <c r="D547" t="s">
        <v>34</v>
      </c>
      <c r="E547">
        <v>34266</v>
      </c>
      <c r="F547">
        <v>0</v>
      </c>
      <c r="G547" s="16" t="s">
        <v>29</v>
      </c>
      <c r="H547" s="3">
        <v>45432</v>
      </c>
      <c r="I547" s="3"/>
      <c r="J547" t="s">
        <v>50</v>
      </c>
      <c r="K547" t="s">
        <v>47</v>
      </c>
      <c r="M547" t="s">
        <v>31</v>
      </c>
    </row>
    <row r="548" spans="1:13" x14ac:dyDescent="0.35">
      <c r="A548" t="s">
        <v>605</v>
      </c>
      <c r="B548" t="s">
        <v>79</v>
      </c>
      <c r="C548" t="s">
        <v>38</v>
      </c>
      <c r="D548" t="s">
        <v>58</v>
      </c>
      <c r="E548">
        <v>16555</v>
      </c>
      <c r="F548">
        <v>0</v>
      </c>
      <c r="G548" s="16" t="s">
        <v>29</v>
      </c>
      <c r="H548" s="3">
        <v>45357</v>
      </c>
      <c r="I548" s="3"/>
      <c r="J548" t="s">
        <v>18</v>
      </c>
      <c r="K548" t="s">
        <v>19</v>
      </c>
      <c r="M548" t="s">
        <v>67</v>
      </c>
    </row>
    <row r="549" spans="1:13" x14ac:dyDescent="0.35">
      <c r="A549" t="s">
        <v>606</v>
      </c>
      <c r="B549" t="s">
        <v>22</v>
      </c>
      <c r="C549" t="s">
        <v>64</v>
      </c>
      <c r="D549" t="s">
        <v>23</v>
      </c>
      <c r="E549">
        <v>34930</v>
      </c>
      <c r="F549">
        <v>34124</v>
      </c>
      <c r="G549" s="16" t="s">
        <v>17</v>
      </c>
      <c r="H549" s="3">
        <v>45643</v>
      </c>
      <c r="I549" s="3">
        <v>45646</v>
      </c>
      <c r="J549" t="s">
        <v>50</v>
      </c>
      <c r="K549" t="s">
        <v>47</v>
      </c>
      <c r="L549">
        <v>3</v>
      </c>
      <c r="M549" t="s">
        <v>62</v>
      </c>
    </row>
    <row r="550" spans="1:13" x14ac:dyDescent="0.35">
      <c r="A550" t="s">
        <v>607</v>
      </c>
      <c r="B550" t="s">
        <v>79</v>
      </c>
      <c r="C550" t="s">
        <v>64</v>
      </c>
      <c r="D550" t="s">
        <v>34</v>
      </c>
      <c r="E550">
        <v>47168</v>
      </c>
      <c r="F550">
        <v>47144</v>
      </c>
      <c r="G550" s="16" t="s">
        <v>17</v>
      </c>
      <c r="H550" s="3">
        <v>45637</v>
      </c>
      <c r="I550" s="3">
        <v>45641</v>
      </c>
      <c r="J550" t="s">
        <v>50</v>
      </c>
      <c r="K550" t="s">
        <v>19</v>
      </c>
      <c r="L550">
        <v>4</v>
      </c>
      <c r="M550" t="s">
        <v>62</v>
      </c>
    </row>
    <row r="551" spans="1:13" x14ac:dyDescent="0.35">
      <c r="A551" t="s">
        <v>608</v>
      </c>
      <c r="B551" t="s">
        <v>14</v>
      </c>
      <c r="C551" t="s">
        <v>38</v>
      </c>
      <c r="D551" t="s">
        <v>34</v>
      </c>
      <c r="E551">
        <v>42159</v>
      </c>
      <c r="F551">
        <v>41776</v>
      </c>
      <c r="G551" s="16" t="s">
        <v>17</v>
      </c>
      <c r="H551" s="3">
        <v>45572</v>
      </c>
      <c r="I551" s="3">
        <v>45577</v>
      </c>
      <c r="J551" t="s">
        <v>18</v>
      </c>
      <c r="K551" t="s">
        <v>43</v>
      </c>
      <c r="L551">
        <v>5</v>
      </c>
      <c r="M551" t="s">
        <v>76</v>
      </c>
    </row>
    <row r="552" spans="1:13" x14ac:dyDescent="0.35">
      <c r="A552" t="s">
        <v>609</v>
      </c>
      <c r="B552" t="s">
        <v>72</v>
      </c>
      <c r="C552" t="s">
        <v>38</v>
      </c>
      <c r="D552" t="s">
        <v>34</v>
      </c>
      <c r="E552">
        <v>14052</v>
      </c>
      <c r="F552">
        <v>13184</v>
      </c>
      <c r="G552" s="16" t="s">
        <v>17</v>
      </c>
      <c r="H552" s="3">
        <v>45399</v>
      </c>
      <c r="I552" s="3">
        <v>45406</v>
      </c>
      <c r="J552" t="s">
        <v>50</v>
      </c>
      <c r="K552" t="s">
        <v>43</v>
      </c>
      <c r="L552">
        <v>7</v>
      </c>
      <c r="M552" t="s">
        <v>51</v>
      </c>
    </row>
    <row r="553" spans="1:13" x14ac:dyDescent="0.35">
      <c r="A553" t="s">
        <v>610</v>
      </c>
      <c r="B553" t="s">
        <v>22</v>
      </c>
      <c r="C553" t="s">
        <v>38</v>
      </c>
      <c r="D553" t="s">
        <v>55</v>
      </c>
      <c r="E553">
        <v>13789</v>
      </c>
      <c r="F553">
        <v>0</v>
      </c>
      <c r="G553" s="16" t="s">
        <v>29</v>
      </c>
      <c r="H553" s="3">
        <v>45359</v>
      </c>
      <c r="I553" s="3"/>
      <c r="J553" t="s">
        <v>18</v>
      </c>
      <c r="K553" t="s">
        <v>30</v>
      </c>
      <c r="M553" t="s">
        <v>67</v>
      </c>
    </row>
    <row r="554" spans="1:13" x14ac:dyDescent="0.35">
      <c r="A554" t="s">
        <v>611</v>
      </c>
      <c r="B554" t="s">
        <v>14</v>
      </c>
      <c r="C554" t="s">
        <v>38</v>
      </c>
      <c r="D554" t="s">
        <v>28</v>
      </c>
      <c r="E554">
        <v>38394</v>
      </c>
      <c r="F554">
        <v>36641</v>
      </c>
      <c r="G554" s="16" t="s">
        <v>17</v>
      </c>
      <c r="H554" s="3">
        <v>45487</v>
      </c>
      <c r="I554" s="3">
        <v>45491</v>
      </c>
      <c r="J554" t="s">
        <v>18</v>
      </c>
      <c r="K554" t="s">
        <v>30</v>
      </c>
      <c r="L554">
        <v>4</v>
      </c>
      <c r="M554" t="s">
        <v>85</v>
      </c>
    </row>
    <row r="555" spans="1:13" x14ac:dyDescent="0.35">
      <c r="A555" t="s">
        <v>612</v>
      </c>
      <c r="B555" t="s">
        <v>33</v>
      </c>
      <c r="C555" t="s">
        <v>64</v>
      </c>
      <c r="D555" t="s">
        <v>23</v>
      </c>
      <c r="E555">
        <v>13574</v>
      </c>
      <c r="F555">
        <v>12551</v>
      </c>
      <c r="G555" s="16" t="s">
        <v>17</v>
      </c>
      <c r="H555" s="3">
        <v>45360</v>
      </c>
      <c r="I555" s="3">
        <v>45369</v>
      </c>
      <c r="J555" t="s">
        <v>50</v>
      </c>
      <c r="K555" t="s">
        <v>30</v>
      </c>
      <c r="L555">
        <v>9</v>
      </c>
      <c r="M555" t="s">
        <v>67</v>
      </c>
    </row>
    <row r="556" spans="1:13" x14ac:dyDescent="0.35">
      <c r="A556" t="s">
        <v>613</v>
      </c>
      <c r="B556" t="s">
        <v>72</v>
      </c>
      <c r="C556" t="s">
        <v>38</v>
      </c>
      <c r="D556" t="s">
        <v>16</v>
      </c>
      <c r="E556">
        <v>38840</v>
      </c>
      <c r="F556">
        <v>0</v>
      </c>
      <c r="G556" s="16" t="s">
        <v>29</v>
      </c>
      <c r="H556" s="3">
        <v>45316</v>
      </c>
      <c r="I556" s="3"/>
      <c r="J556" t="s">
        <v>50</v>
      </c>
      <c r="K556" t="s">
        <v>47</v>
      </c>
      <c r="M556" t="s">
        <v>39</v>
      </c>
    </row>
    <row r="557" spans="1:13" x14ac:dyDescent="0.35">
      <c r="A557" t="s">
        <v>614</v>
      </c>
      <c r="B557" t="s">
        <v>33</v>
      </c>
      <c r="C557" t="s">
        <v>15</v>
      </c>
      <c r="D557" t="s">
        <v>28</v>
      </c>
      <c r="E557">
        <v>18665</v>
      </c>
      <c r="F557">
        <v>16947</v>
      </c>
      <c r="G557" s="16" t="s">
        <v>17</v>
      </c>
      <c r="H557" s="3">
        <v>45614</v>
      </c>
      <c r="I557" s="3">
        <v>45616</v>
      </c>
      <c r="J557" t="s">
        <v>50</v>
      </c>
      <c r="K557" t="s">
        <v>56</v>
      </c>
      <c r="L557">
        <v>2</v>
      </c>
      <c r="M557" t="s">
        <v>48</v>
      </c>
    </row>
    <row r="558" spans="1:13" x14ac:dyDescent="0.35">
      <c r="A558" t="s">
        <v>615</v>
      </c>
      <c r="B558" t="s">
        <v>41</v>
      </c>
      <c r="C558" t="s">
        <v>38</v>
      </c>
      <c r="D558" t="s">
        <v>34</v>
      </c>
      <c r="E558">
        <v>25613</v>
      </c>
      <c r="F558">
        <v>0</v>
      </c>
      <c r="G558" s="16" t="s">
        <v>29</v>
      </c>
      <c r="H558" s="3">
        <v>45577</v>
      </c>
      <c r="I558" s="3"/>
      <c r="J558" t="s">
        <v>50</v>
      </c>
      <c r="K558" t="s">
        <v>43</v>
      </c>
      <c r="M558" t="s">
        <v>76</v>
      </c>
    </row>
    <row r="559" spans="1:13" x14ac:dyDescent="0.35">
      <c r="A559" t="s">
        <v>616</v>
      </c>
      <c r="B559" t="s">
        <v>60</v>
      </c>
      <c r="C559" t="s">
        <v>27</v>
      </c>
      <c r="D559" t="s">
        <v>70</v>
      </c>
      <c r="E559">
        <v>25009</v>
      </c>
      <c r="F559">
        <v>0</v>
      </c>
      <c r="G559" s="16" t="s">
        <v>29</v>
      </c>
      <c r="H559" s="3">
        <v>45393</v>
      </c>
      <c r="I559" s="3"/>
      <c r="J559" t="s">
        <v>18</v>
      </c>
      <c r="K559" t="s">
        <v>30</v>
      </c>
      <c r="M559" t="s">
        <v>51</v>
      </c>
    </row>
    <row r="560" spans="1:13" x14ac:dyDescent="0.35">
      <c r="A560" t="s">
        <v>617</v>
      </c>
      <c r="B560" t="s">
        <v>96</v>
      </c>
      <c r="C560" t="s">
        <v>38</v>
      </c>
      <c r="D560" t="s">
        <v>34</v>
      </c>
      <c r="E560">
        <v>46118</v>
      </c>
      <c r="F560">
        <v>0</v>
      </c>
      <c r="G560" s="16" t="s">
        <v>29</v>
      </c>
      <c r="H560" s="3">
        <v>45541</v>
      </c>
      <c r="I560" s="3"/>
      <c r="J560" t="s">
        <v>50</v>
      </c>
      <c r="K560" t="s">
        <v>47</v>
      </c>
      <c r="M560" t="s">
        <v>24</v>
      </c>
    </row>
    <row r="561" spans="1:13" x14ac:dyDescent="0.35">
      <c r="A561" t="s">
        <v>618</v>
      </c>
      <c r="B561" t="s">
        <v>22</v>
      </c>
      <c r="C561" t="s">
        <v>38</v>
      </c>
      <c r="D561" t="s">
        <v>55</v>
      </c>
      <c r="E561">
        <v>43399</v>
      </c>
      <c r="F561">
        <v>41621</v>
      </c>
      <c r="G561" s="16" t="s">
        <v>17</v>
      </c>
      <c r="H561" s="3">
        <v>45377</v>
      </c>
      <c r="I561" s="3">
        <v>45383</v>
      </c>
      <c r="J561" t="s">
        <v>50</v>
      </c>
      <c r="K561" t="s">
        <v>56</v>
      </c>
      <c r="L561">
        <v>6</v>
      </c>
      <c r="M561" t="s">
        <v>67</v>
      </c>
    </row>
    <row r="562" spans="1:13" x14ac:dyDescent="0.35">
      <c r="A562" t="s">
        <v>619</v>
      </c>
      <c r="B562" t="s">
        <v>53</v>
      </c>
      <c r="C562" t="s">
        <v>27</v>
      </c>
      <c r="D562" t="s">
        <v>70</v>
      </c>
      <c r="E562">
        <v>7184</v>
      </c>
      <c r="F562">
        <v>6481</v>
      </c>
      <c r="G562" s="16" t="s">
        <v>17</v>
      </c>
      <c r="H562" s="3">
        <v>45408</v>
      </c>
      <c r="I562" s="3">
        <v>45414</v>
      </c>
      <c r="J562" t="s">
        <v>50</v>
      </c>
      <c r="K562" t="s">
        <v>56</v>
      </c>
      <c r="L562">
        <v>6</v>
      </c>
      <c r="M562" t="s">
        <v>51</v>
      </c>
    </row>
    <row r="563" spans="1:13" x14ac:dyDescent="0.35">
      <c r="A563" t="s">
        <v>620</v>
      </c>
      <c r="B563" t="s">
        <v>96</v>
      </c>
      <c r="C563" t="s">
        <v>38</v>
      </c>
      <c r="D563" t="s">
        <v>58</v>
      </c>
      <c r="E563">
        <v>19776</v>
      </c>
      <c r="F563">
        <v>18177</v>
      </c>
      <c r="G563" s="16" t="s">
        <v>17</v>
      </c>
      <c r="H563" s="3">
        <v>45477</v>
      </c>
      <c r="I563" s="3">
        <v>45487</v>
      </c>
      <c r="J563" t="s">
        <v>50</v>
      </c>
      <c r="K563" t="s">
        <v>35</v>
      </c>
      <c r="L563">
        <v>10</v>
      </c>
      <c r="M563" t="s">
        <v>85</v>
      </c>
    </row>
    <row r="564" spans="1:13" x14ac:dyDescent="0.35">
      <c r="A564" t="s">
        <v>621</v>
      </c>
      <c r="B564" t="s">
        <v>33</v>
      </c>
      <c r="C564" t="s">
        <v>73</v>
      </c>
      <c r="D564" t="s">
        <v>23</v>
      </c>
      <c r="E564">
        <v>10194</v>
      </c>
      <c r="F564">
        <v>8839</v>
      </c>
      <c r="G564" s="16" t="s">
        <v>17</v>
      </c>
      <c r="H564" s="3">
        <v>45420</v>
      </c>
      <c r="I564" s="3">
        <v>45422</v>
      </c>
      <c r="J564" t="s">
        <v>18</v>
      </c>
      <c r="K564" t="s">
        <v>47</v>
      </c>
      <c r="L564">
        <v>2</v>
      </c>
      <c r="M564" t="s">
        <v>31</v>
      </c>
    </row>
    <row r="565" spans="1:13" x14ac:dyDescent="0.35">
      <c r="A565" t="s">
        <v>622</v>
      </c>
      <c r="B565" t="s">
        <v>22</v>
      </c>
      <c r="C565" t="s">
        <v>15</v>
      </c>
      <c r="D565" t="s">
        <v>70</v>
      </c>
      <c r="E565">
        <v>6180</v>
      </c>
      <c r="F565">
        <v>5057</v>
      </c>
      <c r="G565" s="16" t="s">
        <v>17</v>
      </c>
      <c r="H565" s="3">
        <v>45319</v>
      </c>
      <c r="I565" s="3">
        <v>45320</v>
      </c>
      <c r="J565" t="s">
        <v>50</v>
      </c>
      <c r="K565" t="s">
        <v>19</v>
      </c>
      <c r="L565">
        <v>1</v>
      </c>
      <c r="M565" t="s">
        <v>39</v>
      </c>
    </row>
    <row r="566" spans="1:13" x14ac:dyDescent="0.35">
      <c r="A566" t="s">
        <v>623</v>
      </c>
      <c r="B566" t="s">
        <v>14</v>
      </c>
      <c r="C566" t="s">
        <v>15</v>
      </c>
      <c r="D566" t="s">
        <v>16</v>
      </c>
      <c r="E566">
        <v>42507</v>
      </c>
      <c r="F566">
        <v>42335</v>
      </c>
      <c r="G566" s="16" t="s">
        <v>17</v>
      </c>
      <c r="H566" s="3">
        <v>45627</v>
      </c>
      <c r="I566" s="3">
        <v>45634</v>
      </c>
      <c r="J566" t="s">
        <v>50</v>
      </c>
      <c r="K566" t="s">
        <v>47</v>
      </c>
      <c r="L566">
        <v>7</v>
      </c>
      <c r="M566" t="s">
        <v>62</v>
      </c>
    </row>
    <row r="567" spans="1:13" x14ac:dyDescent="0.35">
      <c r="A567" t="s">
        <v>624</v>
      </c>
      <c r="B567" t="s">
        <v>26</v>
      </c>
      <c r="C567" t="s">
        <v>38</v>
      </c>
      <c r="D567" t="s">
        <v>55</v>
      </c>
      <c r="E567">
        <v>43057</v>
      </c>
      <c r="F567">
        <v>42789</v>
      </c>
      <c r="G567" s="16" t="s">
        <v>17</v>
      </c>
      <c r="H567" s="3">
        <v>45561</v>
      </c>
      <c r="I567" s="3">
        <v>45564</v>
      </c>
      <c r="J567" t="s">
        <v>18</v>
      </c>
      <c r="K567" t="s">
        <v>47</v>
      </c>
      <c r="L567">
        <v>3</v>
      </c>
      <c r="M567" t="s">
        <v>24</v>
      </c>
    </row>
    <row r="568" spans="1:13" x14ac:dyDescent="0.35">
      <c r="A568" t="s">
        <v>625</v>
      </c>
      <c r="B568" t="s">
        <v>41</v>
      </c>
      <c r="C568" t="s">
        <v>38</v>
      </c>
      <c r="D568" t="s">
        <v>55</v>
      </c>
      <c r="E568">
        <v>32617</v>
      </c>
      <c r="F568">
        <v>0</v>
      </c>
      <c r="G568" s="16" t="s">
        <v>29</v>
      </c>
      <c r="H568" s="3">
        <v>45431</v>
      </c>
      <c r="I568" s="3"/>
      <c r="J568" t="s">
        <v>50</v>
      </c>
      <c r="K568" t="s">
        <v>47</v>
      </c>
      <c r="M568" t="s">
        <v>31</v>
      </c>
    </row>
    <row r="569" spans="1:13" x14ac:dyDescent="0.35">
      <c r="A569" t="s">
        <v>626</v>
      </c>
      <c r="B569" t="s">
        <v>79</v>
      </c>
      <c r="C569" t="s">
        <v>73</v>
      </c>
      <c r="D569" t="s">
        <v>55</v>
      </c>
      <c r="E569">
        <v>43356</v>
      </c>
      <c r="F569">
        <v>0</v>
      </c>
      <c r="G569" s="16" t="s">
        <v>29</v>
      </c>
      <c r="H569" s="3">
        <v>45514</v>
      </c>
      <c r="I569" s="3"/>
      <c r="J569" t="s">
        <v>50</v>
      </c>
      <c r="K569" t="s">
        <v>43</v>
      </c>
      <c r="M569" t="s">
        <v>44</v>
      </c>
    </row>
    <row r="570" spans="1:13" x14ac:dyDescent="0.35">
      <c r="A570" t="s">
        <v>627</v>
      </c>
      <c r="B570" t="s">
        <v>72</v>
      </c>
      <c r="C570" t="s">
        <v>46</v>
      </c>
      <c r="D570" t="s">
        <v>70</v>
      </c>
      <c r="E570">
        <v>30957</v>
      </c>
      <c r="F570">
        <v>30208</v>
      </c>
      <c r="G570" s="16" t="s">
        <v>17</v>
      </c>
      <c r="H570" s="3">
        <v>45503</v>
      </c>
      <c r="I570" s="3">
        <v>45508</v>
      </c>
      <c r="J570" t="s">
        <v>18</v>
      </c>
      <c r="K570" t="s">
        <v>43</v>
      </c>
      <c r="L570">
        <v>5</v>
      </c>
      <c r="M570" t="s">
        <v>85</v>
      </c>
    </row>
    <row r="571" spans="1:13" x14ac:dyDescent="0.35">
      <c r="A571" t="s">
        <v>628</v>
      </c>
      <c r="B571" t="s">
        <v>60</v>
      </c>
      <c r="C571" t="s">
        <v>15</v>
      </c>
      <c r="D571" t="s">
        <v>61</v>
      </c>
      <c r="E571">
        <v>24536</v>
      </c>
      <c r="F571">
        <v>23576</v>
      </c>
      <c r="G571" s="16" t="s">
        <v>17</v>
      </c>
      <c r="H571" s="3">
        <v>45565</v>
      </c>
      <c r="I571" s="3">
        <v>45566</v>
      </c>
      <c r="J571" t="s">
        <v>50</v>
      </c>
      <c r="K571" t="s">
        <v>30</v>
      </c>
      <c r="L571">
        <v>1</v>
      </c>
      <c r="M571" t="s">
        <v>24</v>
      </c>
    </row>
    <row r="572" spans="1:13" x14ac:dyDescent="0.35">
      <c r="A572" t="s">
        <v>629</v>
      </c>
      <c r="B572" t="s">
        <v>72</v>
      </c>
      <c r="C572" t="s">
        <v>38</v>
      </c>
      <c r="D572" t="s">
        <v>23</v>
      </c>
      <c r="E572">
        <v>30209</v>
      </c>
      <c r="F572">
        <v>28987</v>
      </c>
      <c r="G572" s="16" t="s">
        <v>17</v>
      </c>
      <c r="H572" s="3">
        <v>45410</v>
      </c>
      <c r="I572" s="3">
        <v>45411</v>
      </c>
      <c r="J572" t="s">
        <v>50</v>
      </c>
      <c r="K572" t="s">
        <v>47</v>
      </c>
      <c r="L572">
        <v>1</v>
      </c>
      <c r="M572" t="s">
        <v>51</v>
      </c>
    </row>
    <row r="573" spans="1:13" x14ac:dyDescent="0.35">
      <c r="A573" t="s">
        <v>630</v>
      </c>
      <c r="B573" t="s">
        <v>22</v>
      </c>
      <c r="C573" t="s">
        <v>27</v>
      </c>
      <c r="D573" t="s">
        <v>58</v>
      </c>
      <c r="E573">
        <v>18377</v>
      </c>
      <c r="F573">
        <v>16913</v>
      </c>
      <c r="G573" s="16" t="s">
        <v>17</v>
      </c>
      <c r="H573" s="3">
        <v>45622</v>
      </c>
      <c r="I573" s="3">
        <v>45629</v>
      </c>
      <c r="J573" t="s">
        <v>50</v>
      </c>
      <c r="K573" t="s">
        <v>47</v>
      </c>
      <c r="L573">
        <v>7</v>
      </c>
      <c r="M573" t="s">
        <v>48</v>
      </c>
    </row>
    <row r="574" spans="1:13" x14ac:dyDescent="0.35">
      <c r="A574" t="s">
        <v>631</v>
      </c>
      <c r="B574" t="s">
        <v>96</v>
      </c>
      <c r="C574" t="s">
        <v>15</v>
      </c>
      <c r="D574" t="s">
        <v>58</v>
      </c>
      <c r="E574">
        <v>42981</v>
      </c>
      <c r="F574">
        <v>41923</v>
      </c>
      <c r="G574" s="16" t="s">
        <v>17</v>
      </c>
      <c r="H574" s="3">
        <v>45605</v>
      </c>
      <c r="I574" s="3">
        <v>45610</v>
      </c>
      <c r="J574" t="s">
        <v>50</v>
      </c>
      <c r="K574" t="s">
        <v>56</v>
      </c>
      <c r="L574">
        <v>5</v>
      </c>
      <c r="M574" t="s">
        <v>48</v>
      </c>
    </row>
    <row r="575" spans="1:13" x14ac:dyDescent="0.35">
      <c r="A575" t="s">
        <v>632</v>
      </c>
      <c r="B575" t="s">
        <v>79</v>
      </c>
      <c r="C575" t="s">
        <v>38</v>
      </c>
      <c r="D575" t="s">
        <v>58</v>
      </c>
      <c r="E575">
        <v>14320</v>
      </c>
      <c r="F575">
        <v>13947</v>
      </c>
      <c r="G575" s="16" t="s">
        <v>17</v>
      </c>
      <c r="H575" s="3">
        <v>45361</v>
      </c>
      <c r="I575" s="3">
        <v>45366</v>
      </c>
      <c r="J575" t="s">
        <v>18</v>
      </c>
      <c r="K575" t="s">
        <v>56</v>
      </c>
      <c r="L575">
        <v>5</v>
      </c>
      <c r="M575" t="s">
        <v>67</v>
      </c>
    </row>
    <row r="576" spans="1:13" x14ac:dyDescent="0.35">
      <c r="A576" t="s">
        <v>633</v>
      </c>
      <c r="B576" t="s">
        <v>72</v>
      </c>
      <c r="C576" t="s">
        <v>64</v>
      </c>
      <c r="D576" t="s">
        <v>16</v>
      </c>
      <c r="E576">
        <v>47906</v>
      </c>
      <c r="F576">
        <v>0</v>
      </c>
      <c r="G576" s="16" t="s">
        <v>29</v>
      </c>
      <c r="H576" s="3">
        <v>45543</v>
      </c>
      <c r="I576" s="3"/>
      <c r="J576" t="s">
        <v>18</v>
      </c>
      <c r="K576" t="s">
        <v>43</v>
      </c>
      <c r="M576" t="s">
        <v>24</v>
      </c>
    </row>
    <row r="577" spans="1:13" x14ac:dyDescent="0.35">
      <c r="A577" t="s">
        <v>634</v>
      </c>
      <c r="B577" t="s">
        <v>60</v>
      </c>
      <c r="C577" t="s">
        <v>73</v>
      </c>
      <c r="D577" t="s">
        <v>23</v>
      </c>
      <c r="E577">
        <v>37059</v>
      </c>
      <c r="F577">
        <v>36679</v>
      </c>
      <c r="G577" s="16" t="s">
        <v>17</v>
      </c>
      <c r="H577" s="3">
        <v>45344</v>
      </c>
      <c r="I577" s="3">
        <v>45349</v>
      </c>
      <c r="J577" t="s">
        <v>50</v>
      </c>
      <c r="K577" t="s">
        <v>47</v>
      </c>
      <c r="L577">
        <v>5</v>
      </c>
      <c r="M577" t="s">
        <v>20</v>
      </c>
    </row>
    <row r="578" spans="1:13" x14ac:dyDescent="0.35">
      <c r="A578" t="s">
        <v>635</v>
      </c>
      <c r="B578" t="s">
        <v>72</v>
      </c>
      <c r="C578" t="s">
        <v>15</v>
      </c>
      <c r="D578" t="s">
        <v>28</v>
      </c>
      <c r="E578">
        <v>7911</v>
      </c>
      <c r="F578">
        <v>7881</v>
      </c>
      <c r="G578" s="16" t="s">
        <v>17</v>
      </c>
      <c r="H578" s="3">
        <v>45544</v>
      </c>
      <c r="I578" s="3">
        <v>45548</v>
      </c>
      <c r="J578" t="s">
        <v>50</v>
      </c>
      <c r="K578" t="s">
        <v>35</v>
      </c>
      <c r="L578">
        <v>4</v>
      </c>
      <c r="M578" t="s">
        <v>24</v>
      </c>
    </row>
    <row r="579" spans="1:13" x14ac:dyDescent="0.35">
      <c r="A579" t="s">
        <v>636</v>
      </c>
      <c r="B579" t="s">
        <v>96</v>
      </c>
      <c r="C579" t="s">
        <v>64</v>
      </c>
      <c r="D579" t="s">
        <v>34</v>
      </c>
      <c r="E579">
        <v>32388</v>
      </c>
      <c r="F579">
        <v>31712</v>
      </c>
      <c r="G579" s="16" t="s">
        <v>17</v>
      </c>
      <c r="H579" s="3">
        <v>45333</v>
      </c>
      <c r="I579" s="3">
        <v>45336</v>
      </c>
      <c r="J579" t="s">
        <v>18</v>
      </c>
      <c r="K579" t="s">
        <v>43</v>
      </c>
      <c r="L579">
        <v>3</v>
      </c>
      <c r="M579" t="s">
        <v>20</v>
      </c>
    </row>
    <row r="580" spans="1:13" x14ac:dyDescent="0.35">
      <c r="A580" t="s">
        <v>637</v>
      </c>
      <c r="B580" t="s">
        <v>22</v>
      </c>
      <c r="C580" t="s">
        <v>15</v>
      </c>
      <c r="D580" t="s">
        <v>55</v>
      </c>
      <c r="E580">
        <v>13901</v>
      </c>
      <c r="F580">
        <v>12067</v>
      </c>
      <c r="G580" s="16" t="s">
        <v>17</v>
      </c>
      <c r="H580" s="3">
        <v>45420</v>
      </c>
      <c r="I580" s="3">
        <v>45427</v>
      </c>
      <c r="J580" t="s">
        <v>18</v>
      </c>
      <c r="K580" t="s">
        <v>47</v>
      </c>
      <c r="L580">
        <v>7</v>
      </c>
      <c r="M580" t="s">
        <v>31</v>
      </c>
    </row>
    <row r="581" spans="1:13" x14ac:dyDescent="0.35">
      <c r="A581" t="s">
        <v>638</v>
      </c>
      <c r="B581" t="s">
        <v>26</v>
      </c>
      <c r="C581" t="s">
        <v>27</v>
      </c>
      <c r="D581" t="s">
        <v>55</v>
      </c>
      <c r="E581">
        <v>18198</v>
      </c>
      <c r="F581">
        <v>17791</v>
      </c>
      <c r="G581" s="16" t="s">
        <v>17</v>
      </c>
      <c r="H581" s="3">
        <v>45527</v>
      </c>
      <c r="I581" s="3">
        <v>45529</v>
      </c>
      <c r="J581" t="s">
        <v>18</v>
      </c>
      <c r="K581" t="s">
        <v>35</v>
      </c>
      <c r="L581">
        <v>2</v>
      </c>
      <c r="M581" t="s">
        <v>44</v>
      </c>
    </row>
    <row r="582" spans="1:13" x14ac:dyDescent="0.35">
      <c r="A582" t="s">
        <v>639</v>
      </c>
      <c r="B582" t="s">
        <v>22</v>
      </c>
      <c r="C582" t="s">
        <v>38</v>
      </c>
      <c r="D582" t="s">
        <v>34</v>
      </c>
      <c r="E582">
        <v>12394</v>
      </c>
      <c r="F582">
        <v>10869</v>
      </c>
      <c r="G582" s="16" t="s">
        <v>17</v>
      </c>
      <c r="H582" s="3">
        <v>45573</v>
      </c>
      <c r="I582" s="3">
        <v>45582</v>
      </c>
      <c r="J582" t="s">
        <v>18</v>
      </c>
      <c r="K582" t="s">
        <v>43</v>
      </c>
      <c r="L582">
        <v>9</v>
      </c>
      <c r="M582" t="s">
        <v>76</v>
      </c>
    </row>
    <row r="583" spans="1:13" x14ac:dyDescent="0.35">
      <c r="A583" t="s">
        <v>640</v>
      </c>
      <c r="B583" t="s">
        <v>72</v>
      </c>
      <c r="C583" t="s">
        <v>38</v>
      </c>
      <c r="D583" t="s">
        <v>28</v>
      </c>
      <c r="E583">
        <v>25620</v>
      </c>
      <c r="F583">
        <v>23852</v>
      </c>
      <c r="G583" s="16" t="s">
        <v>17</v>
      </c>
      <c r="H583" s="3">
        <v>45633</v>
      </c>
      <c r="I583" s="3">
        <v>45637</v>
      </c>
      <c r="J583" t="s">
        <v>18</v>
      </c>
      <c r="K583" t="s">
        <v>47</v>
      </c>
      <c r="L583">
        <v>4</v>
      </c>
      <c r="M583" t="s">
        <v>62</v>
      </c>
    </row>
    <row r="584" spans="1:13" x14ac:dyDescent="0.35">
      <c r="A584" t="s">
        <v>641</v>
      </c>
      <c r="B584" t="s">
        <v>22</v>
      </c>
      <c r="C584" t="s">
        <v>38</v>
      </c>
      <c r="D584" t="s">
        <v>23</v>
      </c>
      <c r="E584">
        <v>12968</v>
      </c>
      <c r="F584">
        <v>11771</v>
      </c>
      <c r="G584" s="16" t="s">
        <v>17</v>
      </c>
      <c r="H584" s="3">
        <v>45353</v>
      </c>
      <c r="I584" s="3">
        <v>45360</v>
      </c>
      <c r="J584" t="s">
        <v>18</v>
      </c>
      <c r="K584" t="s">
        <v>47</v>
      </c>
      <c r="L584">
        <v>7</v>
      </c>
      <c r="M584" t="s">
        <v>67</v>
      </c>
    </row>
    <row r="585" spans="1:13" x14ac:dyDescent="0.35">
      <c r="A585" t="s">
        <v>642</v>
      </c>
      <c r="B585" t="s">
        <v>60</v>
      </c>
      <c r="C585" t="s">
        <v>64</v>
      </c>
      <c r="D585" t="s">
        <v>61</v>
      </c>
      <c r="E585">
        <v>26339</v>
      </c>
      <c r="F585">
        <v>25830</v>
      </c>
      <c r="G585" s="16" t="s">
        <v>17</v>
      </c>
      <c r="H585" s="3">
        <v>45372</v>
      </c>
      <c r="I585" s="3">
        <v>45380</v>
      </c>
      <c r="J585" t="s">
        <v>18</v>
      </c>
      <c r="K585" t="s">
        <v>56</v>
      </c>
      <c r="L585">
        <v>8</v>
      </c>
      <c r="M585" t="s">
        <v>67</v>
      </c>
    </row>
    <row r="586" spans="1:13" x14ac:dyDescent="0.35">
      <c r="A586" t="s">
        <v>643</v>
      </c>
      <c r="B586" t="s">
        <v>53</v>
      </c>
      <c r="C586" t="s">
        <v>38</v>
      </c>
      <c r="D586" t="s">
        <v>23</v>
      </c>
      <c r="E586">
        <v>5917</v>
      </c>
      <c r="F586">
        <v>4597</v>
      </c>
      <c r="G586" s="16" t="s">
        <v>17</v>
      </c>
      <c r="H586" s="3">
        <v>45370</v>
      </c>
      <c r="I586" s="3">
        <v>45379</v>
      </c>
      <c r="J586" t="s">
        <v>18</v>
      </c>
      <c r="K586" t="s">
        <v>47</v>
      </c>
      <c r="L586">
        <v>9</v>
      </c>
      <c r="M586" t="s">
        <v>67</v>
      </c>
    </row>
    <row r="587" spans="1:13" x14ac:dyDescent="0.35">
      <c r="A587" t="s">
        <v>644</v>
      </c>
      <c r="B587" t="s">
        <v>72</v>
      </c>
      <c r="C587" t="s">
        <v>46</v>
      </c>
      <c r="D587" t="s">
        <v>34</v>
      </c>
      <c r="E587">
        <v>38592</v>
      </c>
      <c r="F587">
        <v>36943</v>
      </c>
      <c r="G587" s="16" t="s">
        <v>17</v>
      </c>
      <c r="H587" s="3">
        <v>45516</v>
      </c>
      <c r="I587" s="3">
        <v>45520</v>
      </c>
      <c r="J587" t="s">
        <v>18</v>
      </c>
      <c r="K587" t="s">
        <v>56</v>
      </c>
      <c r="L587">
        <v>4</v>
      </c>
      <c r="M587" t="s">
        <v>44</v>
      </c>
    </row>
    <row r="588" spans="1:13" x14ac:dyDescent="0.35">
      <c r="A588" t="s">
        <v>645</v>
      </c>
      <c r="B588" t="s">
        <v>22</v>
      </c>
      <c r="C588" t="s">
        <v>38</v>
      </c>
      <c r="D588" t="s">
        <v>61</v>
      </c>
      <c r="E588">
        <v>18429</v>
      </c>
      <c r="F588">
        <v>17436</v>
      </c>
      <c r="G588" s="16" t="s">
        <v>17</v>
      </c>
      <c r="H588" s="3">
        <v>45653</v>
      </c>
      <c r="I588" s="3">
        <v>45661</v>
      </c>
      <c r="J588" t="s">
        <v>50</v>
      </c>
      <c r="K588" t="s">
        <v>19</v>
      </c>
      <c r="L588">
        <v>8</v>
      </c>
      <c r="M588" t="s">
        <v>62</v>
      </c>
    </row>
    <row r="589" spans="1:13" x14ac:dyDescent="0.35">
      <c r="A589" t="s">
        <v>646</v>
      </c>
      <c r="B589" t="s">
        <v>72</v>
      </c>
      <c r="C589" t="s">
        <v>46</v>
      </c>
      <c r="D589" t="s">
        <v>61</v>
      </c>
      <c r="E589">
        <v>37626</v>
      </c>
      <c r="F589">
        <v>36964</v>
      </c>
      <c r="G589" s="16" t="s">
        <v>17</v>
      </c>
      <c r="H589" s="3">
        <v>45531</v>
      </c>
      <c r="I589" s="3">
        <v>45536</v>
      </c>
      <c r="J589" t="s">
        <v>18</v>
      </c>
      <c r="K589" t="s">
        <v>47</v>
      </c>
      <c r="L589">
        <v>5</v>
      </c>
      <c r="M589" t="s">
        <v>44</v>
      </c>
    </row>
    <row r="590" spans="1:13" x14ac:dyDescent="0.35">
      <c r="A590" t="s">
        <v>647</v>
      </c>
      <c r="B590" t="s">
        <v>79</v>
      </c>
      <c r="C590" t="s">
        <v>73</v>
      </c>
      <c r="D590" t="s">
        <v>55</v>
      </c>
      <c r="E590">
        <v>21377</v>
      </c>
      <c r="F590">
        <v>20268</v>
      </c>
      <c r="G590" s="16" t="s">
        <v>17</v>
      </c>
      <c r="H590" s="3">
        <v>45479</v>
      </c>
      <c r="I590" s="3">
        <v>45487</v>
      </c>
      <c r="J590" t="s">
        <v>18</v>
      </c>
      <c r="K590" t="s">
        <v>30</v>
      </c>
      <c r="L590">
        <v>8</v>
      </c>
      <c r="M590" t="s">
        <v>85</v>
      </c>
    </row>
    <row r="591" spans="1:13" x14ac:dyDescent="0.35">
      <c r="A591" t="s">
        <v>648</v>
      </c>
      <c r="B591" t="s">
        <v>79</v>
      </c>
      <c r="C591" t="s">
        <v>27</v>
      </c>
      <c r="D591" t="s">
        <v>61</v>
      </c>
      <c r="E591">
        <v>3226</v>
      </c>
      <c r="F591">
        <v>0</v>
      </c>
      <c r="G591" s="16" t="s">
        <v>29</v>
      </c>
      <c r="H591" s="3">
        <v>45478</v>
      </c>
      <c r="I591" s="3"/>
      <c r="J591" t="s">
        <v>18</v>
      </c>
      <c r="K591" t="s">
        <v>43</v>
      </c>
      <c r="M591" t="s">
        <v>85</v>
      </c>
    </row>
    <row r="592" spans="1:13" x14ac:dyDescent="0.35">
      <c r="A592" t="s">
        <v>649</v>
      </c>
      <c r="B592" t="s">
        <v>14</v>
      </c>
      <c r="C592" t="s">
        <v>27</v>
      </c>
      <c r="D592" t="s">
        <v>28</v>
      </c>
      <c r="E592">
        <v>36345</v>
      </c>
      <c r="F592">
        <v>34777</v>
      </c>
      <c r="G592" s="16" t="s">
        <v>17</v>
      </c>
      <c r="H592" s="3">
        <v>45574</v>
      </c>
      <c r="I592" s="3">
        <v>45577</v>
      </c>
      <c r="J592" t="s">
        <v>50</v>
      </c>
      <c r="K592" t="s">
        <v>43</v>
      </c>
      <c r="L592">
        <v>3</v>
      </c>
      <c r="M592" t="s">
        <v>76</v>
      </c>
    </row>
    <row r="593" spans="1:13" x14ac:dyDescent="0.35">
      <c r="A593" t="s">
        <v>650</v>
      </c>
      <c r="B593" t="s">
        <v>22</v>
      </c>
      <c r="C593" t="s">
        <v>38</v>
      </c>
      <c r="D593" t="s">
        <v>70</v>
      </c>
      <c r="E593">
        <v>8308</v>
      </c>
      <c r="F593">
        <v>0</v>
      </c>
      <c r="G593" s="16" t="s">
        <v>29</v>
      </c>
      <c r="H593" s="3">
        <v>45629</v>
      </c>
      <c r="I593" s="3"/>
      <c r="J593" t="s">
        <v>18</v>
      </c>
      <c r="K593" t="s">
        <v>47</v>
      </c>
      <c r="M593" t="s">
        <v>62</v>
      </c>
    </row>
    <row r="594" spans="1:13" x14ac:dyDescent="0.35">
      <c r="A594" t="s">
        <v>651</v>
      </c>
      <c r="B594" t="s">
        <v>33</v>
      </c>
      <c r="C594" t="s">
        <v>73</v>
      </c>
      <c r="D594" t="s">
        <v>23</v>
      </c>
      <c r="E594">
        <v>15243</v>
      </c>
      <c r="F594">
        <v>14249</v>
      </c>
      <c r="G594" s="16" t="s">
        <v>17</v>
      </c>
      <c r="H594" s="3">
        <v>45390</v>
      </c>
      <c r="I594" s="3">
        <v>45392</v>
      </c>
      <c r="J594" t="s">
        <v>18</v>
      </c>
      <c r="K594" t="s">
        <v>19</v>
      </c>
      <c r="L594">
        <v>2</v>
      </c>
      <c r="M594" t="s">
        <v>51</v>
      </c>
    </row>
    <row r="595" spans="1:13" x14ac:dyDescent="0.35">
      <c r="A595" t="s">
        <v>652</v>
      </c>
      <c r="B595" t="s">
        <v>22</v>
      </c>
      <c r="C595" t="s">
        <v>64</v>
      </c>
      <c r="D595" t="s">
        <v>16</v>
      </c>
      <c r="E595">
        <v>5216</v>
      </c>
      <c r="F595">
        <v>4764</v>
      </c>
      <c r="G595" s="16" t="s">
        <v>17</v>
      </c>
      <c r="H595" s="3">
        <v>45602</v>
      </c>
      <c r="I595" s="3">
        <v>45604</v>
      </c>
      <c r="J595" t="s">
        <v>18</v>
      </c>
      <c r="K595" t="s">
        <v>47</v>
      </c>
      <c r="L595">
        <v>2</v>
      </c>
      <c r="M595" t="s">
        <v>48</v>
      </c>
    </row>
    <row r="596" spans="1:13" x14ac:dyDescent="0.35">
      <c r="A596" t="s">
        <v>653</v>
      </c>
      <c r="B596" t="s">
        <v>72</v>
      </c>
      <c r="C596" t="s">
        <v>15</v>
      </c>
      <c r="D596" t="s">
        <v>55</v>
      </c>
      <c r="E596">
        <v>43872</v>
      </c>
      <c r="F596">
        <v>43133</v>
      </c>
      <c r="G596" s="16" t="s">
        <v>17</v>
      </c>
      <c r="H596" s="3">
        <v>45577</v>
      </c>
      <c r="I596" s="3">
        <v>45584</v>
      </c>
      <c r="J596" t="s">
        <v>50</v>
      </c>
      <c r="K596" t="s">
        <v>30</v>
      </c>
      <c r="L596">
        <v>7</v>
      </c>
      <c r="M596" t="s">
        <v>76</v>
      </c>
    </row>
    <row r="597" spans="1:13" x14ac:dyDescent="0.35">
      <c r="A597" t="s">
        <v>654</v>
      </c>
      <c r="B597" t="s">
        <v>60</v>
      </c>
      <c r="C597" t="s">
        <v>38</v>
      </c>
      <c r="D597" t="s">
        <v>23</v>
      </c>
      <c r="E597">
        <v>6612</v>
      </c>
      <c r="F597">
        <v>6453</v>
      </c>
      <c r="G597" s="16" t="s">
        <v>17</v>
      </c>
      <c r="H597" s="3">
        <v>45402</v>
      </c>
      <c r="I597" s="3">
        <v>45411</v>
      </c>
      <c r="J597" t="s">
        <v>18</v>
      </c>
      <c r="K597" t="s">
        <v>47</v>
      </c>
      <c r="L597">
        <v>9</v>
      </c>
      <c r="M597" t="s">
        <v>51</v>
      </c>
    </row>
    <row r="598" spans="1:13" x14ac:dyDescent="0.35">
      <c r="A598" t="s">
        <v>655</v>
      </c>
      <c r="B598" t="s">
        <v>26</v>
      </c>
      <c r="C598" t="s">
        <v>27</v>
      </c>
      <c r="D598" t="s">
        <v>28</v>
      </c>
      <c r="E598">
        <v>14656</v>
      </c>
      <c r="F598">
        <v>0</v>
      </c>
      <c r="G598" s="16" t="s">
        <v>29</v>
      </c>
      <c r="H598" s="3">
        <v>45628</v>
      </c>
      <c r="I598" s="3"/>
      <c r="J598" t="s">
        <v>18</v>
      </c>
      <c r="K598" t="s">
        <v>19</v>
      </c>
      <c r="M598" t="s">
        <v>62</v>
      </c>
    </row>
    <row r="599" spans="1:13" x14ac:dyDescent="0.35">
      <c r="A599" t="s">
        <v>656</v>
      </c>
      <c r="B599" t="s">
        <v>33</v>
      </c>
      <c r="C599" t="s">
        <v>27</v>
      </c>
      <c r="D599" t="s">
        <v>70</v>
      </c>
      <c r="E599">
        <v>43852</v>
      </c>
      <c r="F599">
        <v>0</v>
      </c>
      <c r="G599" s="16" t="s">
        <v>29</v>
      </c>
      <c r="H599" s="3">
        <v>45475</v>
      </c>
      <c r="I599" s="3"/>
      <c r="J599" t="s">
        <v>50</v>
      </c>
      <c r="K599" t="s">
        <v>56</v>
      </c>
      <c r="M599" t="s">
        <v>85</v>
      </c>
    </row>
    <row r="600" spans="1:13" x14ac:dyDescent="0.35">
      <c r="A600" t="s">
        <v>657</v>
      </c>
      <c r="B600" t="s">
        <v>22</v>
      </c>
      <c r="C600" t="s">
        <v>15</v>
      </c>
      <c r="D600" t="s">
        <v>61</v>
      </c>
      <c r="E600">
        <v>13822</v>
      </c>
      <c r="F600">
        <v>0</v>
      </c>
      <c r="G600" s="16" t="s">
        <v>29</v>
      </c>
      <c r="H600" s="3">
        <v>45497</v>
      </c>
      <c r="I600" s="3"/>
      <c r="J600" t="s">
        <v>50</v>
      </c>
      <c r="K600" t="s">
        <v>56</v>
      </c>
      <c r="M600" t="s">
        <v>85</v>
      </c>
    </row>
    <row r="601" spans="1:13" x14ac:dyDescent="0.35">
      <c r="A601" t="s">
        <v>658</v>
      </c>
      <c r="B601" t="s">
        <v>33</v>
      </c>
      <c r="C601" t="s">
        <v>64</v>
      </c>
      <c r="D601" t="s">
        <v>34</v>
      </c>
      <c r="E601">
        <v>22653</v>
      </c>
      <c r="F601">
        <v>0</v>
      </c>
      <c r="G601" s="16" t="s">
        <v>29</v>
      </c>
      <c r="H601" s="3">
        <v>45458</v>
      </c>
      <c r="I601" s="3"/>
      <c r="J601" t="s">
        <v>50</v>
      </c>
      <c r="K601" t="s">
        <v>35</v>
      </c>
      <c r="M601" t="s">
        <v>36</v>
      </c>
    </row>
    <row r="602" spans="1:13" x14ac:dyDescent="0.35">
      <c r="A602" t="s">
        <v>659</v>
      </c>
      <c r="B602" t="s">
        <v>22</v>
      </c>
      <c r="C602" t="s">
        <v>38</v>
      </c>
      <c r="D602" t="s">
        <v>28</v>
      </c>
      <c r="E602">
        <v>38906</v>
      </c>
      <c r="F602">
        <v>0</v>
      </c>
      <c r="G602" s="16" t="s">
        <v>29</v>
      </c>
      <c r="H602" s="3">
        <v>45401</v>
      </c>
      <c r="I602" s="3"/>
      <c r="J602" t="s">
        <v>50</v>
      </c>
      <c r="K602" t="s">
        <v>30</v>
      </c>
      <c r="M602" t="s">
        <v>51</v>
      </c>
    </row>
    <row r="603" spans="1:13" x14ac:dyDescent="0.35">
      <c r="A603" t="s">
        <v>660</v>
      </c>
      <c r="B603" t="s">
        <v>79</v>
      </c>
      <c r="C603" t="s">
        <v>38</v>
      </c>
      <c r="D603" t="s">
        <v>34</v>
      </c>
      <c r="E603">
        <v>31648</v>
      </c>
      <c r="F603">
        <v>29683</v>
      </c>
      <c r="G603" s="16" t="s">
        <v>17</v>
      </c>
      <c r="H603" s="3">
        <v>45495</v>
      </c>
      <c r="I603" s="3">
        <v>45496</v>
      </c>
      <c r="J603" t="s">
        <v>18</v>
      </c>
      <c r="K603" t="s">
        <v>43</v>
      </c>
      <c r="L603">
        <v>1</v>
      </c>
      <c r="M603" t="s">
        <v>85</v>
      </c>
    </row>
    <row r="604" spans="1:13" x14ac:dyDescent="0.35">
      <c r="A604" t="s">
        <v>661</v>
      </c>
      <c r="B604" t="s">
        <v>53</v>
      </c>
      <c r="C604" t="s">
        <v>15</v>
      </c>
      <c r="D604" t="s">
        <v>61</v>
      </c>
      <c r="E604">
        <v>21781</v>
      </c>
      <c r="F604">
        <v>21166</v>
      </c>
      <c r="G604" s="16" t="s">
        <v>17</v>
      </c>
      <c r="H604" s="3">
        <v>45405</v>
      </c>
      <c r="I604" s="3">
        <v>45409</v>
      </c>
      <c r="J604" t="s">
        <v>50</v>
      </c>
      <c r="K604" t="s">
        <v>47</v>
      </c>
      <c r="L604">
        <v>4</v>
      </c>
      <c r="M604" t="s">
        <v>51</v>
      </c>
    </row>
    <row r="605" spans="1:13" x14ac:dyDescent="0.35">
      <c r="A605" t="s">
        <v>662</v>
      </c>
      <c r="B605" t="s">
        <v>96</v>
      </c>
      <c r="C605" t="s">
        <v>73</v>
      </c>
      <c r="D605" t="s">
        <v>70</v>
      </c>
      <c r="E605">
        <v>4473</v>
      </c>
      <c r="F605">
        <v>3745</v>
      </c>
      <c r="G605" s="16" t="s">
        <v>17</v>
      </c>
      <c r="H605" s="3">
        <v>45371</v>
      </c>
      <c r="I605" s="3">
        <v>45374</v>
      </c>
      <c r="J605" t="s">
        <v>50</v>
      </c>
      <c r="K605" t="s">
        <v>43</v>
      </c>
      <c r="L605">
        <v>3</v>
      </c>
      <c r="M605" t="s">
        <v>67</v>
      </c>
    </row>
    <row r="606" spans="1:13" x14ac:dyDescent="0.35">
      <c r="A606" t="s">
        <v>663</v>
      </c>
      <c r="B606" t="s">
        <v>53</v>
      </c>
      <c r="C606" t="s">
        <v>46</v>
      </c>
      <c r="D606" t="s">
        <v>28</v>
      </c>
      <c r="E606">
        <v>18793</v>
      </c>
      <c r="F606">
        <v>18605</v>
      </c>
      <c r="G606" s="16" t="s">
        <v>17</v>
      </c>
      <c r="H606" s="3">
        <v>45584</v>
      </c>
      <c r="I606" s="3">
        <v>45591</v>
      </c>
      <c r="J606" t="s">
        <v>18</v>
      </c>
      <c r="K606" t="s">
        <v>56</v>
      </c>
      <c r="L606">
        <v>7</v>
      </c>
      <c r="M606" t="s">
        <v>76</v>
      </c>
    </row>
    <row r="607" spans="1:13" x14ac:dyDescent="0.35">
      <c r="A607" t="s">
        <v>664</v>
      </c>
      <c r="B607" t="s">
        <v>14</v>
      </c>
      <c r="C607" t="s">
        <v>38</v>
      </c>
      <c r="D607" t="s">
        <v>55</v>
      </c>
      <c r="E607">
        <v>13331</v>
      </c>
      <c r="F607">
        <v>11640</v>
      </c>
      <c r="G607" s="16" t="s">
        <v>17</v>
      </c>
      <c r="H607" s="3">
        <v>45645</v>
      </c>
      <c r="I607" s="3">
        <v>45655</v>
      </c>
      <c r="J607" t="s">
        <v>18</v>
      </c>
      <c r="K607" t="s">
        <v>19</v>
      </c>
      <c r="L607">
        <v>10</v>
      </c>
      <c r="M607" t="s">
        <v>62</v>
      </c>
    </row>
    <row r="608" spans="1:13" x14ac:dyDescent="0.35">
      <c r="A608" t="s">
        <v>665</v>
      </c>
      <c r="B608" t="s">
        <v>96</v>
      </c>
      <c r="C608" t="s">
        <v>15</v>
      </c>
      <c r="D608" t="s">
        <v>58</v>
      </c>
      <c r="E608">
        <v>7143</v>
      </c>
      <c r="F608">
        <v>5256</v>
      </c>
      <c r="G608" s="16" t="s">
        <v>17</v>
      </c>
      <c r="H608" s="3">
        <v>45463</v>
      </c>
      <c r="I608" s="3">
        <v>45469</v>
      </c>
      <c r="J608" t="s">
        <v>50</v>
      </c>
      <c r="K608" t="s">
        <v>35</v>
      </c>
      <c r="L608">
        <v>6</v>
      </c>
      <c r="M608" t="s">
        <v>36</v>
      </c>
    </row>
    <row r="609" spans="1:13" x14ac:dyDescent="0.35">
      <c r="A609" t="s">
        <v>666</v>
      </c>
      <c r="B609" t="s">
        <v>14</v>
      </c>
      <c r="C609" t="s">
        <v>46</v>
      </c>
      <c r="D609" t="s">
        <v>23</v>
      </c>
      <c r="E609">
        <v>43542</v>
      </c>
      <c r="F609">
        <v>43432</v>
      </c>
      <c r="G609" s="16" t="s">
        <v>17</v>
      </c>
      <c r="H609" s="3">
        <v>45448</v>
      </c>
      <c r="I609" s="3">
        <v>45457</v>
      </c>
      <c r="J609" t="s">
        <v>18</v>
      </c>
      <c r="K609" t="s">
        <v>43</v>
      </c>
      <c r="L609">
        <v>9</v>
      </c>
      <c r="M609" t="s">
        <v>36</v>
      </c>
    </row>
    <row r="610" spans="1:13" x14ac:dyDescent="0.35">
      <c r="A610" t="s">
        <v>667</v>
      </c>
      <c r="B610" t="s">
        <v>79</v>
      </c>
      <c r="C610" t="s">
        <v>73</v>
      </c>
      <c r="D610" t="s">
        <v>34</v>
      </c>
      <c r="E610">
        <v>34925</v>
      </c>
      <c r="F610">
        <v>34612</v>
      </c>
      <c r="G610" s="16" t="s">
        <v>17</v>
      </c>
      <c r="H610" s="3">
        <v>45317</v>
      </c>
      <c r="I610" s="3">
        <v>45324</v>
      </c>
      <c r="J610" t="s">
        <v>50</v>
      </c>
      <c r="K610" t="s">
        <v>30</v>
      </c>
      <c r="L610">
        <v>7</v>
      </c>
      <c r="M610" t="s">
        <v>39</v>
      </c>
    </row>
    <row r="611" spans="1:13" x14ac:dyDescent="0.35">
      <c r="A611" t="s">
        <v>668</v>
      </c>
      <c r="B611" t="s">
        <v>53</v>
      </c>
      <c r="C611" t="s">
        <v>15</v>
      </c>
      <c r="D611" t="s">
        <v>28</v>
      </c>
      <c r="E611">
        <v>30307</v>
      </c>
      <c r="F611">
        <v>28697</v>
      </c>
      <c r="G611" s="16" t="s">
        <v>17</v>
      </c>
      <c r="H611" s="3">
        <v>45493</v>
      </c>
      <c r="I611" s="3">
        <v>45496</v>
      </c>
      <c r="J611" t="s">
        <v>18</v>
      </c>
      <c r="K611" t="s">
        <v>43</v>
      </c>
      <c r="L611">
        <v>3</v>
      </c>
      <c r="M611" t="s">
        <v>85</v>
      </c>
    </row>
    <row r="612" spans="1:13" x14ac:dyDescent="0.35">
      <c r="A612" t="s">
        <v>669</v>
      </c>
      <c r="B612" t="s">
        <v>14</v>
      </c>
      <c r="C612" t="s">
        <v>64</v>
      </c>
      <c r="D612" t="s">
        <v>23</v>
      </c>
      <c r="E612">
        <v>37923</v>
      </c>
      <c r="F612">
        <v>37386</v>
      </c>
      <c r="G612" s="16" t="s">
        <v>17</v>
      </c>
      <c r="H612" s="3">
        <v>45335</v>
      </c>
      <c r="I612" s="3">
        <v>45342</v>
      </c>
      <c r="J612" t="s">
        <v>50</v>
      </c>
      <c r="K612" t="s">
        <v>30</v>
      </c>
      <c r="L612">
        <v>7</v>
      </c>
      <c r="M612" t="s">
        <v>20</v>
      </c>
    </row>
    <row r="613" spans="1:13" x14ac:dyDescent="0.35">
      <c r="A613" t="s">
        <v>670</v>
      </c>
      <c r="B613" t="s">
        <v>33</v>
      </c>
      <c r="C613" t="s">
        <v>73</v>
      </c>
      <c r="D613" t="s">
        <v>55</v>
      </c>
      <c r="E613">
        <v>38654</v>
      </c>
      <c r="F613">
        <v>37655</v>
      </c>
      <c r="G613" s="16" t="s">
        <v>17</v>
      </c>
      <c r="H613" s="3">
        <v>45494</v>
      </c>
      <c r="I613" s="3">
        <v>45504</v>
      </c>
      <c r="J613" t="s">
        <v>18</v>
      </c>
      <c r="K613" t="s">
        <v>19</v>
      </c>
      <c r="L613">
        <v>10</v>
      </c>
      <c r="M613" t="s">
        <v>85</v>
      </c>
    </row>
    <row r="614" spans="1:13" x14ac:dyDescent="0.35">
      <c r="A614" t="s">
        <v>671</v>
      </c>
      <c r="B614" t="s">
        <v>53</v>
      </c>
      <c r="C614" t="s">
        <v>46</v>
      </c>
      <c r="D614" t="s">
        <v>28</v>
      </c>
      <c r="E614">
        <v>6695</v>
      </c>
      <c r="F614">
        <v>5105</v>
      </c>
      <c r="G614" s="16" t="s">
        <v>17</v>
      </c>
      <c r="H614" s="3">
        <v>45512</v>
      </c>
      <c r="I614" s="3">
        <v>45518</v>
      </c>
      <c r="J614" t="s">
        <v>18</v>
      </c>
      <c r="K614" t="s">
        <v>47</v>
      </c>
      <c r="L614">
        <v>6</v>
      </c>
      <c r="M614" t="s">
        <v>44</v>
      </c>
    </row>
    <row r="615" spans="1:13" x14ac:dyDescent="0.35">
      <c r="A615" t="s">
        <v>672</v>
      </c>
      <c r="B615" t="s">
        <v>22</v>
      </c>
      <c r="C615" t="s">
        <v>27</v>
      </c>
      <c r="D615" t="s">
        <v>34</v>
      </c>
      <c r="E615">
        <v>24826</v>
      </c>
      <c r="F615">
        <v>24170</v>
      </c>
      <c r="G615" s="16" t="s">
        <v>17</v>
      </c>
      <c r="H615" s="3">
        <v>45468</v>
      </c>
      <c r="I615" s="3">
        <v>45478</v>
      </c>
      <c r="J615" t="s">
        <v>18</v>
      </c>
      <c r="K615" t="s">
        <v>30</v>
      </c>
      <c r="L615">
        <v>10</v>
      </c>
      <c r="M615" t="s">
        <v>36</v>
      </c>
    </row>
    <row r="616" spans="1:13" x14ac:dyDescent="0.35">
      <c r="A616" t="s">
        <v>673</v>
      </c>
      <c r="B616" t="s">
        <v>96</v>
      </c>
      <c r="C616" t="s">
        <v>73</v>
      </c>
      <c r="D616" t="s">
        <v>34</v>
      </c>
      <c r="E616">
        <v>42384</v>
      </c>
      <c r="F616">
        <v>41108</v>
      </c>
      <c r="G616" s="16" t="s">
        <v>17</v>
      </c>
      <c r="H616" s="3">
        <v>45366</v>
      </c>
      <c r="I616" s="3">
        <v>45374</v>
      </c>
      <c r="J616" t="s">
        <v>18</v>
      </c>
      <c r="K616" t="s">
        <v>30</v>
      </c>
      <c r="L616">
        <v>8</v>
      </c>
      <c r="M616" t="s">
        <v>67</v>
      </c>
    </row>
    <row r="617" spans="1:13" x14ac:dyDescent="0.35">
      <c r="A617" t="s">
        <v>674</v>
      </c>
      <c r="B617" t="s">
        <v>26</v>
      </c>
      <c r="C617" t="s">
        <v>46</v>
      </c>
      <c r="D617" t="s">
        <v>34</v>
      </c>
      <c r="E617">
        <v>12223</v>
      </c>
      <c r="F617">
        <v>11993</v>
      </c>
      <c r="G617" s="16" t="s">
        <v>17</v>
      </c>
      <c r="H617" s="3">
        <v>45319</v>
      </c>
      <c r="I617" s="3">
        <v>45323</v>
      </c>
      <c r="J617" t="s">
        <v>18</v>
      </c>
      <c r="K617" t="s">
        <v>30</v>
      </c>
      <c r="L617">
        <v>4</v>
      </c>
      <c r="M617" t="s">
        <v>39</v>
      </c>
    </row>
    <row r="618" spans="1:13" x14ac:dyDescent="0.35">
      <c r="A618" t="s">
        <v>675</v>
      </c>
      <c r="B618" t="s">
        <v>96</v>
      </c>
      <c r="C618" t="s">
        <v>15</v>
      </c>
      <c r="D618" t="s">
        <v>34</v>
      </c>
      <c r="E618">
        <v>47468</v>
      </c>
      <c r="F618">
        <v>46844</v>
      </c>
      <c r="G618" s="16" t="s">
        <v>17</v>
      </c>
      <c r="H618" s="3">
        <v>45522</v>
      </c>
      <c r="I618" s="3">
        <v>45530</v>
      </c>
      <c r="J618" t="s">
        <v>18</v>
      </c>
      <c r="K618" t="s">
        <v>43</v>
      </c>
      <c r="L618">
        <v>8</v>
      </c>
      <c r="M618" t="s">
        <v>44</v>
      </c>
    </row>
    <row r="619" spans="1:13" x14ac:dyDescent="0.35">
      <c r="A619" t="s">
        <v>676</v>
      </c>
      <c r="B619" t="s">
        <v>26</v>
      </c>
      <c r="C619" t="s">
        <v>46</v>
      </c>
      <c r="D619" t="s">
        <v>28</v>
      </c>
      <c r="E619">
        <v>37810</v>
      </c>
      <c r="F619">
        <v>0</v>
      </c>
      <c r="G619" s="16" t="s">
        <v>29</v>
      </c>
      <c r="H619" s="3">
        <v>45424</v>
      </c>
      <c r="I619" s="3"/>
      <c r="J619" t="s">
        <v>50</v>
      </c>
      <c r="K619" t="s">
        <v>19</v>
      </c>
      <c r="M619" t="s">
        <v>31</v>
      </c>
    </row>
    <row r="620" spans="1:13" x14ac:dyDescent="0.35">
      <c r="A620" t="s">
        <v>677</v>
      </c>
      <c r="B620" t="s">
        <v>33</v>
      </c>
      <c r="C620" t="s">
        <v>15</v>
      </c>
      <c r="D620" t="s">
        <v>58</v>
      </c>
      <c r="E620">
        <v>40207</v>
      </c>
      <c r="F620">
        <v>0</v>
      </c>
      <c r="G620" s="16" t="s">
        <v>29</v>
      </c>
      <c r="H620" s="3">
        <v>45314</v>
      </c>
      <c r="I620" s="3"/>
      <c r="J620" t="s">
        <v>50</v>
      </c>
      <c r="K620" t="s">
        <v>47</v>
      </c>
      <c r="M620" t="s">
        <v>39</v>
      </c>
    </row>
    <row r="621" spans="1:13" x14ac:dyDescent="0.35">
      <c r="A621" t="s">
        <v>678</v>
      </c>
      <c r="B621" t="s">
        <v>60</v>
      </c>
      <c r="C621" t="s">
        <v>38</v>
      </c>
      <c r="D621" t="s">
        <v>28</v>
      </c>
      <c r="E621">
        <v>47647</v>
      </c>
      <c r="F621">
        <v>0</v>
      </c>
      <c r="G621" s="16" t="s">
        <v>29</v>
      </c>
      <c r="H621" s="3">
        <v>45430</v>
      </c>
      <c r="I621" s="3"/>
      <c r="J621" t="s">
        <v>18</v>
      </c>
      <c r="K621" t="s">
        <v>35</v>
      </c>
      <c r="M621" t="s">
        <v>31</v>
      </c>
    </row>
    <row r="622" spans="1:13" x14ac:dyDescent="0.35">
      <c r="A622" t="s">
        <v>679</v>
      </c>
      <c r="B622" t="s">
        <v>60</v>
      </c>
      <c r="C622" t="s">
        <v>15</v>
      </c>
      <c r="D622" t="s">
        <v>58</v>
      </c>
      <c r="E622">
        <v>45278</v>
      </c>
      <c r="F622">
        <v>43921</v>
      </c>
      <c r="G622" s="16" t="s">
        <v>17</v>
      </c>
      <c r="H622" s="3">
        <v>45629</v>
      </c>
      <c r="I622" s="3">
        <v>45635</v>
      </c>
      <c r="J622" t="s">
        <v>18</v>
      </c>
      <c r="K622" t="s">
        <v>47</v>
      </c>
      <c r="L622">
        <v>6</v>
      </c>
      <c r="M622" t="s">
        <v>62</v>
      </c>
    </row>
    <row r="623" spans="1:13" x14ac:dyDescent="0.35">
      <c r="A623" t="s">
        <v>680</v>
      </c>
      <c r="B623" t="s">
        <v>96</v>
      </c>
      <c r="C623" t="s">
        <v>27</v>
      </c>
      <c r="D623" t="s">
        <v>28</v>
      </c>
      <c r="E623">
        <v>26949</v>
      </c>
      <c r="F623">
        <v>0</v>
      </c>
      <c r="G623" s="16" t="s">
        <v>29</v>
      </c>
      <c r="H623" s="3">
        <v>45655</v>
      </c>
      <c r="I623" s="3"/>
      <c r="J623" t="s">
        <v>18</v>
      </c>
      <c r="K623" t="s">
        <v>43</v>
      </c>
      <c r="M623" t="s">
        <v>62</v>
      </c>
    </row>
    <row r="624" spans="1:13" x14ac:dyDescent="0.35">
      <c r="A624" t="s">
        <v>681</v>
      </c>
      <c r="B624" t="s">
        <v>72</v>
      </c>
      <c r="C624" t="s">
        <v>15</v>
      </c>
      <c r="D624" t="s">
        <v>61</v>
      </c>
      <c r="E624">
        <v>15033</v>
      </c>
      <c r="F624">
        <v>0</v>
      </c>
      <c r="G624" s="16" t="s">
        <v>29</v>
      </c>
      <c r="H624" s="3">
        <v>45526</v>
      </c>
      <c r="I624" s="3"/>
      <c r="J624" t="s">
        <v>18</v>
      </c>
      <c r="K624" t="s">
        <v>47</v>
      </c>
      <c r="M624" t="s">
        <v>44</v>
      </c>
    </row>
    <row r="625" spans="1:13" x14ac:dyDescent="0.35">
      <c r="A625" t="s">
        <v>682</v>
      </c>
      <c r="B625" t="s">
        <v>26</v>
      </c>
      <c r="C625" t="s">
        <v>38</v>
      </c>
      <c r="D625" t="s">
        <v>34</v>
      </c>
      <c r="E625">
        <v>34108</v>
      </c>
      <c r="F625">
        <v>32584</v>
      </c>
      <c r="G625" s="16" t="s">
        <v>17</v>
      </c>
      <c r="H625" s="3">
        <v>45372</v>
      </c>
      <c r="I625" s="3">
        <v>45373</v>
      </c>
      <c r="J625" t="s">
        <v>50</v>
      </c>
      <c r="K625" t="s">
        <v>56</v>
      </c>
      <c r="L625">
        <v>1</v>
      </c>
      <c r="M625" t="s">
        <v>67</v>
      </c>
    </row>
    <row r="626" spans="1:13" x14ac:dyDescent="0.35">
      <c r="A626" t="s">
        <v>683</v>
      </c>
      <c r="B626" t="s">
        <v>41</v>
      </c>
      <c r="C626" t="s">
        <v>38</v>
      </c>
      <c r="D626" t="s">
        <v>16</v>
      </c>
      <c r="E626">
        <v>17479</v>
      </c>
      <c r="F626">
        <v>0</v>
      </c>
      <c r="G626" s="16" t="s">
        <v>29</v>
      </c>
      <c r="H626" s="3">
        <v>45433</v>
      </c>
      <c r="I626" s="3"/>
      <c r="J626" t="s">
        <v>18</v>
      </c>
      <c r="K626" t="s">
        <v>56</v>
      </c>
      <c r="M626" t="s">
        <v>31</v>
      </c>
    </row>
    <row r="627" spans="1:13" x14ac:dyDescent="0.35">
      <c r="A627" t="s">
        <v>684</v>
      </c>
      <c r="B627" t="s">
        <v>96</v>
      </c>
      <c r="C627" t="s">
        <v>27</v>
      </c>
      <c r="D627" t="s">
        <v>23</v>
      </c>
      <c r="E627">
        <v>38368</v>
      </c>
      <c r="F627">
        <v>37907</v>
      </c>
      <c r="G627" s="16" t="s">
        <v>17</v>
      </c>
      <c r="H627" s="3">
        <v>45369</v>
      </c>
      <c r="I627" s="3">
        <v>45375</v>
      </c>
      <c r="J627" t="s">
        <v>50</v>
      </c>
      <c r="K627" t="s">
        <v>56</v>
      </c>
      <c r="L627">
        <v>6</v>
      </c>
      <c r="M627" t="s">
        <v>67</v>
      </c>
    </row>
    <row r="628" spans="1:13" x14ac:dyDescent="0.35">
      <c r="A628" t="s">
        <v>685</v>
      </c>
      <c r="B628" t="s">
        <v>33</v>
      </c>
      <c r="C628" t="s">
        <v>15</v>
      </c>
      <c r="D628" t="s">
        <v>58</v>
      </c>
      <c r="E628">
        <v>36125</v>
      </c>
      <c r="F628">
        <v>0</v>
      </c>
      <c r="G628" s="16" t="s">
        <v>29</v>
      </c>
      <c r="H628" s="3">
        <v>45612</v>
      </c>
      <c r="I628" s="3"/>
      <c r="J628" t="s">
        <v>18</v>
      </c>
      <c r="K628" t="s">
        <v>35</v>
      </c>
      <c r="M628" t="s">
        <v>48</v>
      </c>
    </row>
    <row r="629" spans="1:13" x14ac:dyDescent="0.35">
      <c r="A629" t="s">
        <v>686</v>
      </c>
      <c r="B629" t="s">
        <v>26</v>
      </c>
      <c r="C629" t="s">
        <v>73</v>
      </c>
      <c r="D629" t="s">
        <v>58</v>
      </c>
      <c r="E629">
        <v>22472</v>
      </c>
      <c r="F629">
        <v>0</v>
      </c>
      <c r="G629" s="16" t="s">
        <v>29</v>
      </c>
      <c r="H629" s="3">
        <v>45460</v>
      </c>
      <c r="I629" s="3"/>
      <c r="J629" t="s">
        <v>50</v>
      </c>
      <c r="K629" t="s">
        <v>19</v>
      </c>
      <c r="M629" t="s">
        <v>36</v>
      </c>
    </row>
    <row r="630" spans="1:13" x14ac:dyDescent="0.35">
      <c r="A630" t="s">
        <v>687</v>
      </c>
      <c r="B630" t="s">
        <v>33</v>
      </c>
      <c r="C630" t="s">
        <v>46</v>
      </c>
      <c r="D630" t="s">
        <v>61</v>
      </c>
      <c r="E630">
        <v>40078</v>
      </c>
      <c r="F630">
        <v>0</v>
      </c>
      <c r="G630" s="16" t="s">
        <v>29</v>
      </c>
      <c r="H630" s="3">
        <v>45642</v>
      </c>
      <c r="I630" s="3"/>
      <c r="J630" t="s">
        <v>18</v>
      </c>
      <c r="K630" t="s">
        <v>30</v>
      </c>
      <c r="M630" t="s">
        <v>62</v>
      </c>
    </row>
    <row r="631" spans="1:13" x14ac:dyDescent="0.35">
      <c r="A631" t="s">
        <v>688</v>
      </c>
      <c r="B631" t="s">
        <v>33</v>
      </c>
      <c r="C631" t="s">
        <v>38</v>
      </c>
      <c r="D631" t="s">
        <v>61</v>
      </c>
      <c r="E631">
        <v>30184</v>
      </c>
      <c r="F631">
        <v>28841</v>
      </c>
      <c r="G631" s="16" t="s">
        <v>17</v>
      </c>
      <c r="H631" s="3">
        <v>45581</v>
      </c>
      <c r="I631" s="3">
        <v>45584</v>
      </c>
      <c r="J631" t="s">
        <v>50</v>
      </c>
      <c r="K631" t="s">
        <v>47</v>
      </c>
      <c r="L631">
        <v>3</v>
      </c>
      <c r="M631" t="s">
        <v>76</v>
      </c>
    </row>
    <row r="632" spans="1:13" x14ac:dyDescent="0.35">
      <c r="A632" t="s">
        <v>689</v>
      </c>
      <c r="B632" t="s">
        <v>79</v>
      </c>
      <c r="C632" t="s">
        <v>15</v>
      </c>
      <c r="D632" t="s">
        <v>61</v>
      </c>
      <c r="E632">
        <v>22814</v>
      </c>
      <c r="F632">
        <v>21325</v>
      </c>
      <c r="G632" s="16" t="s">
        <v>17</v>
      </c>
      <c r="H632" s="3">
        <v>45307</v>
      </c>
      <c r="I632" s="3">
        <v>45313</v>
      </c>
      <c r="J632" t="s">
        <v>50</v>
      </c>
      <c r="K632" t="s">
        <v>35</v>
      </c>
      <c r="L632">
        <v>6</v>
      </c>
      <c r="M632" t="s">
        <v>39</v>
      </c>
    </row>
    <row r="633" spans="1:13" x14ac:dyDescent="0.35">
      <c r="A633" t="s">
        <v>690</v>
      </c>
      <c r="B633" t="s">
        <v>96</v>
      </c>
      <c r="C633" t="s">
        <v>64</v>
      </c>
      <c r="D633" t="s">
        <v>16</v>
      </c>
      <c r="E633">
        <v>11958</v>
      </c>
      <c r="F633">
        <v>11740</v>
      </c>
      <c r="G633" s="16" t="s">
        <v>17</v>
      </c>
      <c r="H633" s="3">
        <v>45359</v>
      </c>
      <c r="I633" s="3">
        <v>45362</v>
      </c>
      <c r="J633" t="s">
        <v>18</v>
      </c>
      <c r="K633" t="s">
        <v>30</v>
      </c>
      <c r="L633">
        <v>3</v>
      </c>
      <c r="M633" t="s">
        <v>67</v>
      </c>
    </row>
    <row r="634" spans="1:13" x14ac:dyDescent="0.35">
      <c r="A634" t="s">
        <v>691</v>
      </c>
      <c r="B634" t="s">
        <v>53</v>
      </c>
      <c r="C634" t="s">
        <v>38</v>
      </c>
      <c r="D634" t="s">
        <v>28</v>
      </c>
      <c r="E634">
        <v>41083</v>
      </c>
      <c r="F634">
        <v>40611</v>
      </c>
      <c r="G634" s="16" t="s">
        <v>17</v>
      </c>
      <c r="H634" s="3">
        <v>45643</v>
      </c>
      <c r="I634" s="3">
        <v>45644</v>
      </c>
      <c r="J634" t="s">
        <v>50</v>
      </c>
      <c r="K634" t="s">
        <v>47</v>
      </c>
      <c r="L634">
        <v>1</v>
      </c>
      <c r="M634" t="s">
        <v>62</v>
      </c>
    </row>
    <row r="635" spans="1:13" x14ac:dyDescent="0.35">
      <c r="A635" t="s">
        <v>692</v>
      </c>
      <c r="B635" t="s">
        <v>72</v>
      </c>
      <c r="C635" t="s">
        <v>73</v>
      </c>
      <c r="D635" t="s">
        <v>55</v>
      </c>
      <c r="E635">
        <v>48662</v>
      </c>
      <c r="F635">
        <v>48286</v>
      </c>
      <c r="G635" s="16" t="s">
        <v>17</v>
      </c>
      <c r="H635" s="3">
        <v>45490</v>
      </c>
      <c r="I635" s="3">
        <v>45498</v>
      </c>
      <c r="J635" t="s">
        <v>50</v>
      </c>
      <c r="K635" t="s">
        <v>47</v>
      </c>
      <c r="L635">
        <v>8</v>
      </c>
      <c r="M635" t="s">
        <v>85</v>
      </c>
    </row>
    <row r="636" spans="1:13" x14ac:dyDescent="0.35">
      <c r="A636" t="s">
        <v>693</v>
      </c>
      <c r="B636" t="s">
        <v>33</v>
      </c>
      <c r="C636" t="s">
        <v>46</v>
      </c>
      <c r="D636" t="s">
        <v>28</v>
      </c>
      <c r="E636">
        <v>4112</v>
      </c>
      <c r="F636">
        <v>2547</v>
      </c>
      <c r="G636" s="16" t="s">
        <v>17</v>
      </c>
      <c r="H636" s="3">
        <v>45299</v>
      </c>
      <c r="I636" s="3">
        <v>45304</v>
      </c>
      <c r="J636" t="s">
        <v>50</v>
      </c>
      <c r="K636" t="s">
        <v>47</v>
      </c>
      <c r="L636">
        <v>5</v>
      </c>
      <c r="M636" t="s">
        <v>39</v>
      </c>
    </row>
    <row r="637" spans="1:13" x14ac:dyDescent="0.35">
      <c r="A637" t="s">
        <v>694</v>
      </c>
      <c r="B637" t="s">
        <v>26</v>
      </c>
      <c r="C637" t="s">
        <v>46</v>
      </c>
      <c r="D637" t="s">
        <v>70</v>
      </c>
      <c r="E637">
        <v>13604</v>
      </c>
      <c r="F637">
        <v>11829</v>
      </c>
      <c r="G637" s="16" t="s">
        <v>17</v>
      </c>
      <c r="H637" s="3">
        <v>45607</v>
      </c>
      <c r="I637" s="3">
        <v>45615</v>
      </c>
      <c r="J637" t="s">
        <v>50</v>
      </c>
      <c r="K637" t="s">
        <v>30</v>
      </c>
      <c r="L637">
        <v>8</v>
      </c>
      <c r="M637" t="s">
        <v>48</v>
      </c>
    </row>
    <row r="638" spans="1:13" x14ac:dyDescent="0.35">
      <c r="A638" t="s">
        <v>695</v>
      </c>
      <c r="B638" t="s">
        <v>72</v>
      </c>
      <c r="C638" t="s">
        <v>46</v>
      </c>
      <c r="D638" t="s">
        <v>58</v>
      </c>
      <c r="E638">
        <v>28533</v>
      </c>
      <c r="F638">
        <v>27288</v>
      </c>
      <c r="G638" s="16" t="s">
        <v>17</v>
      </c>
      <c r="H638" s="3">
        <v>45486</v>
      </c>
      <c r="I638" s="3">
        <v>45492</v>
      </c>
      <c r="J638" t="s">
        <v>50</v>
      </c>
      <c r="K638" t="s">
        <v>19</v>
      </c>
      <c r="L638">
        <v>6</v>
      </c>
      <c r="M638" t="s">
        <v>85</v>
      </c>
    </row>
    <row r="639" spans="1:13" x14ac:dyDescent="0.35">
      <c r="A639" t="s">
        <v>696</v>
      </c>
      <c r="B639" t="s">
        <v>53</v>
      </c>
      <c r="C639" t="s">
        <v>15</v>
      </c>
      <c r="D639" t="s">
        <v>70</v>
      </c>
      <c r="E639">
        <v>31596</v>
      </c>
      <c r="F639">
        <v>29903</v>
      </c>
      <c r="G639" s="16" t="s">
        <v>17</v>
      </c>
      <c r="H639" s="3">
        <v>45313</v>
      </c>
      <c r="I639" s="3">
        <v>45317</v>
      </c>
      <c r="J639" t="s">
        <v>50</v>
      </c>
      <c r="K639" t="s">
        <v>56</v>
      </c>
      <c r="L639">
        <v>4</v>
      </c>
      <c r="M639" t="s">
        <v>39</v>
      </c>
    </row>
    <row r="640" spans="1:13" x14ac:dyDescent="0.35">
      <c r="A640" t="s">
        <v>697</v>
      </c>
      <c r="B640" t="s">
        <v>60</v>
      </c>
      <c r="C640" t="s">
        <v>27</v>
      </c>
      <c r="D640" t="s">
        <v>23</v>
      </c>
      <c r="E640">
        <v>14442</v>
      </c>
      <c r="F640">
        <v>13542</v>
      </c>
      <c r="G640" s="16" t="s">
        <v>17</v>
      </c>
      <c r="H640" s="3">
        <v>45495</v>
      </c>
      <c r="I640" s="3">
        <v>45500</v>
      </c>
      <c r="J640" t="s">
        <v>50</v>
      </c>
      <c r="K640" t="s">
        <v>35</v>
      </c>
      <c r="L640">
        <v>5</v>
      </c>
      <c r="M640" t="s">
        <v>85</v>
      </c>
    </row>
    <row r="641" spans="1:13" x14ac:dyDescent="0.35">
      <c r="A641" t="s">
        <v>698</v>
      </c>
      <c r="B641" t="s">
        <v>33</v>
      </c>
      <c r="C641" t="s">
        <v>27</v>
      </c>
      <c r="D641" t="s">
        <v>16</v>
      </c>
      <c r="E641">
        <v>42182</v>
      </c>
      <c r="F641">
        <v>40769</v>
      </c>
      <c r="G641" s="16" t="s">
        <v>17</v>
      </c>
      <c r="H641" s="3">
        <v>45556</v>
      </c>
      <c r="I641" s="3">
        <v>45559</v>
      </c>
      <c r="J641" t="s">
        <v>50</v>
      </c>
      <c r="K641" t="s">
        <v>30</v>
      </c>
      <c r="L641">
        <v>3</v>
      </c>
      <c r="M641" t="s">
        <v>24</v>
      </c>
    </row>
    <row r="642" spans="1:13" x14ac:dyDescent="0.35">
      <c r="A642" t="s">
        <v>699</v>
      </c>
      <c r="B642" t="s">
        <v>72</v>
      </c>
      <c r="C642" t="s">
        <v>15</v>
      </c>
      <c r="D642" t="s">
        <v>70</v>
      </c>
      <c r="E642">
        <v>13781</v>
      </c>
      <c r="F642">
        <v>0</v>
      </c>
      <c r="G642" s="16" t="s">
        <v>29</v>
      </c>
      <c r="H642" s="3">
        <v>45648</v>
      </c>
      <c r="I642" s="3"/>
      <c r="J642" t="s">
        <v>18</v>
      </c>
      <c r="K642" t="s">
        <v>35</v>
      </c>
      <c r="M642" t="s">
        <v>62</v>
      </c>
    </row>
    <row r="643" spans="1:13" x14ac:dyDescent="0.35">
      <c r="A643" t="s">
        <v>700</v>
      </c>
      <c r="B643" t="s">
        <v>22</v>
      </c>
      <c r="C643" t="s">
        <v>38</v>
      </c>
      <c r="D643" t="s">
        <v>55</v>
      </c>
      <c r="E643">
        <v>3632</v>
      </c>
      <c r="F643">
        <v>2703</v>
      </c>
      <c r="G643" s="16" t="s">
        <v>17</v>
      </c>
      <c r="H643" s="3">
        <v>45594</v>
      </c>
      <c r="I643" s="3">
        <v>45598</v>
      </c>
      <c r="J643" t="s">
        <v>50</v>
      </c>
      <c r="K643" t="s">
        <v>47</v>
      </c>
      <c r="L643">
        <v>4</v>
      </c>
      <c r="M643" t="s">
        <v>76</v>
      </c>
    </row>
    <row r="644" spans="1:13" x14ac:dyDescent="0.35">
      <c r="A644" t="s">
        <v>701</v>
      </c>
      <c r="B644" t="s">
        <v>96</v>
      </c>
      <c r="C644" t="s">
        <v>38</v>
      </c>
      <c r="D644" t="s">
        <v>61</v>
      </c>
      <c r="E644">
        <v>49079</v>
      </c>
      <c r="F644">
        <v>48893</v>
      </c>
      <c r="G644" s="16" t="s">
        <v>17</v>
      </c>
      <c r="H644" s="3">
        <v>45350</v>
      </c>
      <c r="I644" s="3">
        <v>45358</v>
      </c>
      <c r="J644" t="s">
        <v>50</v>
      </c>
      <c r="K644" t="s">
        <v>47</v>
      </c>
      <c r="L644">
        <v>8</v>
      </c>
      <c r="M644" t="s">
        <v>20</v>
      </c>
    </row>
    <row r="645" spans="1:13" x14ac:dyDescent="0.35">
      <c r="A645" t="s">
        <v>702</v>
      </c>
      <c r="B645" t="s">
        <v>79</v>
      </c>
      <c r="C645" t="s">
        <v>27</v>
      </c>
      <c r="D645" t="s">
        <v>61</v>
      </c>
      <c r="E645">
        <v>26817</v>
      </c>
      <c r="F645">
        <v>0</v>
      </c>
      <c r="G645" s="16" t="s">
        <v>29</v>
      </c>
      <c r="H645" s="3">
        <v>45486</v>
      </c>
      <c r="I645" s="3"/>
      <c r="J645" t="s">
        <v>18</v>
      </c>
      <c r="K645" t="s">
        <v>30</v>
      </c>
      <c r="M645" t="s">
        <v>85</v>
      </c>
    </row>
    <row r="646" spans="1:13" x14ac:dyDescent="0.35">
      <c r="A646" t="s">
        <v>703</v>
      </c>
      <c r="B646" t="s">
        <v>33</v>
      </c>
      <c r="C646" t="s">
        <v>38</v>
      </c>
      <c r="D646" t="s">
        <v>61</v>
      </c>
      <c r="E646">
        <v>12624</v>
      </c>
      <c r="F646">
        <v>12258</v>
      </c>
      <c r="G646" s="16" t="s">
        <v>17</v>
      </c>
      <c r="H646" s="3">
        <v>45656</v>
      </c>
      <c r="I646" s="3">
        <v>45657</v>
      </c>
      <c r="J646" t="s">
        <v>50</v>
      </c>
      <c r="K646" t="s">
        <v>43</v>
      </c>
      <c r="L646">
        <v>1</v>
      </c>
      <c r="M646" t="s">
        <v>62</v>
      </c>
    </row>
    <row r="647" spans="1:13" x14ac:dyDescent="0.35">
      <c r="A647" t="s">
        <v>704</v>
      </c>
      <c r="B647" t="s">
        <v>96</v>
      </c>
      <c r="C647" t="s">
        <v>64</v>
      </c>
      <c r="D647" t="s">
        <v>16</v>
      </c>
      <c r="E647">
        <v>43055</v>
      </c>
      <c r="F647">
        <v>42815</v>
      </c>
      <c r="G647" s="16" t="s">
        <v>17</v>
      </c>
      <c r="H647" s="3">
        <v>45359</v>
      </c>
      <c r="I647" s="3">
        <v>45363</v>
      </c>
      <c r="J647" t="s">
        <v>18</v>
      </c>
      <c r="K647" t="s">
        <v>19</v>
      </c>
      <c r="L647">
        <v>4</v>
      </c>
      <c r="M647" t="s">
        <v>67</v>
      </c>
    </row>
    <row r="648" spans="1:13" x14ac:dyDescent="0.35">
      <c r="A648" t="s">
        <v>705</v>
      </c>
      <c r="B648" t="s">
        <v>96</v>
      </c>
      <c r="C648" t="s">
        <v>15</v>
      </c>
      <c r="D648" t="s">
        <v>55</v>
      </c>
      <c r="E648">
        <v>34612</v>
      </c>
      <c r="F648">
        <v>33499</v>
      </c>
      <c r="G648" s="16" t="s">
        <v>17</v>
      </c>
      <c r="H648" s="3">
        <v>45294</v>
      </c>
      <c r="I648" s="3">
        <v>45304</v>
      </c>
      <c r="J648" t="s">
        <v>50</v>
      </c>
      <c r="K648" t="s">
        <v>47</v>
      </c>
      <c r="L648">
        <v>10</v>
      </c>
      <c r="M648" t="s">
        <v>39</v>
      </c>
    </row>
    <row r="649" spans="1:13" x14ac:dyDescent="0.35">
      <c r="A649" t="s">
        <v>706</v>
      </c>
      <c r="B649" t="s">
        <v>26</v>
      </c>
      <c r="C649" t="s">
        <v>64</v>
      </c>
      <c r="D649" t="s">
        <v>55</v>
      </c>
      <c r="E649">
        <v>28879</v>
      </c>
      <c r="F649">
        <v>28717</v>
      </c>
      <c r="G649" s="16" t="s">
        <v>17</v>
      </c>
      <c r="H649" s="3">
        <v>45599</v>
      </c>
      <c r="I649" s="3">
        <v>45609</v>
      </c>
      <c r="J649" t="s">
        <v>18</v>
      </c>
      <c r="K649" t="s">
        <v>47</v>
      </c>
      <c r="L649">
        <v>10</v>
      </c>
      <c r="M649" t="s">
        <v>48</v>
      </c>
    </row>
    <row r="650" spans="1:13" x14ac:dyDescent="0.35">
      <c r="A650" t="s">
        <v>707</v>
      </c>
      <c r="B650" t="s">
        <v>79</v>
      </c>
      <c r="C650" t="s">
        <v>38</v>
      </c>
      <c r="D650" t="s">
        <v>28</v>
      </c>
      <c r="E650">
        <v>5205</v>
      </c>
      <c r="F650">
        <v>4902</v>
      </c>
      <c r="G650" s="16" t="s">
        <v>17</v>
      </c>
      <c r="H650" s="3">
        <v>45320</v>
      </c>
      <c r="I650" s="3">
        <v>45326</v>
      </c>
      <c r="J650" t="s">
        <v>18</v>
      </c>
      <c r="K650" t="s">
        <v>47</v>
      </c>
      <c r="L650">
        <v>6</v>
      </c>
      <c r="M650" t="s">
        <v>39</v>
      </c>
    </row>
    <row r="651" spans="1:13" x14ac:dyDescent="0.35">
      <c r="A651" t="s">
        <v>708</v>
      </c>
      <c r="B651" t="s">
        <v>60</v>
      </c>
      <c r="C651" t="s">
        <v>38</v>
      </c>
      <c r="D651" t="s">
        <v>34</v>
      </c>
      <c r="E651">
        <v>7747</v>
      </c>
      <c r="F651">
        <v>7524</v>
      </c>
      <c r="G651" s="16" t="s">
        <v>17</v>
      </c>
      <c r="H651" s="3">
        <v>45505</v>
      </c>
      <c r="I651" s="3">
        <v>45508</v>
      </c>
      <c r="J651" t="s">
        <v>18</v>
      </c>
      <c r="K651" t="s">
        <v>56</v>
      </c>
      <c r="L651">
        <v>3</v>
      </c>
      <c r="M651" t="s">
        <v>44</v>
      </c>
    </row>
    <row r="652" spans="1:13" x14ac:dyDescent="0.35">
      <c r="A652" t="s">
        <v>709</v>
      </c>
      <c r="B652" t="s">
        <v>96</v>
      </c>
      <c r="C652" t="s">
        <v>73</v>
      </c>
      <c r="D652" t="s">
        <v>55</v>
      </c>
      <c r="E652">
        <v>39943</v>
      </c>
      <c r="F652">
        <v>38036</v>
      </c>
      <c r="G652" s="16" t="s">
        <v>17</v>
      </c>
      <c r="H652" s="3">
        <v>45310</v>
      </c>
      <c r="I652" s="3">
        <v>45312</v>
      </c>
      <c r="J652" t="s">
        <v>50</v>
      </c>
      <c r="K652" t="s">
        <v>43</v>
      </c>
      <c r="L652">
        <v>2</v>
      </c>
      <c r="M652" t="s">
        <v>39</v>
      </c>
    </row>
    <row r="653" spans="1:13" x14ac:dyDescent="0.35">
      <c r="A653" t="s">
        <v>710</v>
      </c>
      <c r="B653" t="s">
        <v>41</v>
      </c>
      <c r="C653" t="s">
        <v>27</v>
      </c>
      <c r="D653" t="s">
        <v>70</v>
      </c>
      <c r="E653">
        <v>30005</v>
      </c>
      <c r="F653">
        <v>0</v>
      </c>
      <c r="G653" s="16" t="s">
        <v>29</v>
      </c>
      <c r="H653" s="3">
        <v>45325</v>
      </c>
      <c r="I653" s="3"/>
      <c r="J653" t="s">
        <v>50</v>
      </c>
      <c r="K653" t="s">
        <v>35</v>
      </c>
      <c r="M653" t="s">
        <v>20</v>
      </c>
    </row>
    <row r="654" spans="1:13" x14ac:dyDescent="0.35">
      <c r="A654" t="s">
        <v>711</v>
      </c>
      <c r="B654" t="s">
        <v>33</v>
      </c>
      <c r="C654" t="s">
        <v>15</v>
      </c>
      <c r="D654" t="s">
        <v>16</v>
      </c>
      <c r="E654">
        <v>23575</v>
      </c>
      <c r="F654">
        <v>0</v>
      </c>
      <c r="G654" s="16" t="s">
        <v>29</v>
      </c>
      <c r="H654" s="3">
        <v>45503</v>
      </c>
      <c r="I654" s="3"/>
      <c r="J654" t="s">
        <v>18</v>
      </c>
      <c r="K654" t="s">
        <v>56</v>
      </c>
      <c r="M654" t="s">
        <v>85</v>
      </c>
    </row>
    <row r="655" spans="1:13" x14ac:dyDescent="0.35">
      <c r="A655" t="s">
        <v>712</v>
      </c>
      <c r="B655" t="s">
        <v>26</v>
      </c>
      <c r="C655" t="s">
        <v>15</v>
      </c>
      <c r="D655" t="s">
        <v>70</v>
      </c>
      <c r="E655">
        <v>39445</v>
      </c>
      <c r="F655">
        <v>0</v>
      </c>
      <c r="G655" s="16" t="s">
        <v>29</v>
      </c>
      <c r="H655" s="3">
        <v>45336</v>
      </c>
      <c r="I655" s="3"/>
      <c r="J655" t="s">
        <v>50</v>
      </c>
      <c r="K655" t="s">
        <v>56</v>
      </c>
      <c r="M655" t="s">
        <v>20</v>
      </c>
    </row>
    <row r="656" spans="1:13" x14ac:dyDescent="0.35">
      <c r="A656" t="s">
        <v>713</v>
      </c>
      <c r="B656" t="s">
        <v>53</v>
      </c>
      <c r="C656" t="s">
        <v>38</v>
      </c>
      <c r="D656" t="s">
        <v>58</v>
      </c>
      <c r="E656">
        <v>41901</v>
      </c>
      <c r="F656">
        <v>41370</v>
      </c>
      <c r="G656" s="16" t="s">
        <v>17</v>
      </c>
      <c r="H656" s="3">
        <v>45561</v>
      </c>
      <c r="I656" s="3">
        <v>45571</v>
      </c>
      <c r="J656" t="s">
        <v>50</v>
      </c>
      <c r="K656" t="s">
        <v>47</v>
      </c>
      <c r="L656">
        <v>10</v>
      </c>
      <c r="M656" t="s">
        <v>24</v>
      </c>
    </row>
    <row r="657" spans="1:13" x14ac:dyDescent="0.35">
      <c r="A657" t="s">
        <v>714</v>
      </c>
      <c r="B657" t="s">
        <v>53</v>
      </c>
      <c r="C657" t="s">
        <v>64</v>
      </c>
      <c r="D657" t="s">
        <v>55</v>
      </c>
      <c r="E657">
        <v>34276</v>
      </c>
      <c r="F657">
        <v>32467</v>
      </c>
      <c r="G657" s="16" t="s">
        <v>17</v>
      </c>
      <c r="H657" s="3">
        <v>45604</v>
      </c>
      <c r="I657" s="3">
        <v>45608</v>
      </c>
      <c r="J657" t="s">
        <v>50</v>
      </c>
      <c r="K657" t="s">
        <v>47</v>
      </c>
      <c r="L657">
        <v>4</v>
      </c>
      <c r="M657" t="s">
        <v>48</v>
      </c>
    </row>
    <row r="658" spans="1:13" x14ac:dyDescent="0.35">
      <c r="A658" t="s">
        <v>715</v>
      </c>
      <c r="B658" t="s">
        <v>60</v>
      </c>
      <c r="C658" t="s">
        <v>15</v>
      </c>
      <c r="D658" t="s">
        <v>23</v>
      </c>
      <c r="E658">
        <v>32466</v>
      </c>
      <c r="F658">
        <v>30956</v>
      </c>
      <c r="G658" s="16" t="s">
        <v>17</v>
      </c>
      <c r="H658" s="3">
        <v>45398</v>
      </c>
      <c r="I658" s="3">
        <v>45408</v>
      </c>
      <c r="J658" t="s">
        <v>50</v>
      </c>
      <c r="K658" t="s">
        <v>35</v>
      </c>
      <c r="L658">
        <v>10</v>
      </c>
      <c r="M658" t="s">
        <v>51</v>
      </c>
    </row>
    <row r="659" spans="1:13" x14ac:dyDescent="0.35">
      <c r="A659" t="s">
        <v>716</v>
      </c>
      <c r="B659" t="s">
        <v>60</v>
      </c>
      <c r="C659" t="s">
        <v>38</v>
      </c>
      <c r="D659" t="s">
        <v>34</v>
      </c>
      <c r="E659">
        <v>38727</v>
      </c>
      <c r="F659">
        <v>38704</v>
      </c>
      <c r="G659" s="16" t="s">
        <v>17</v>
      </c>
      <c r="H659" s="3">
        <v>45619</v>
      </c>
      <c r="I659" s="3">
        <v>45623</v>
      </c>
      <c r="J659" t="s">
        <v>50</v>
      </c>
      <c r="K659" t="s">
        <v>43</v>
      </c>
      <c r="L659">
        <v>4</v>
      </c>
      <c r="M659" t="s">
        <v>48</v>
      </c>
    </row>
    <row r="660" spans="1:13" x14ac:dyDescent="0.35">
      <c r="A660" t="s">
        <v>717</v>
      </c>
      <c r="B660" t="s">
        <v>14</v>
      </c>
      <c r="C660" t="s">
        <v>38</v>
      </c>
      <c r="D660" t="s">
        <v>16</v>
      </c>
      <c r="E660">
        <v>35206</v>
      </c>
      <c r="F660">
        <v>0</v>
      </c>
      <c r="G660" s="16" t="s">
        <v>29</v>
      </c>
      <c r="H660" s="3">
        <v>45457</v>
      </c>
      <c r="I660" s="3"/>
      <c r="J660" t="s">
        <v>18</v>
      </c>
      <c r="K660" t="s">
        <v>47</v>
      </c>
      <c r="M660" t="s">
        <v>36</v>
      </c>
    </row>
    <row r="661" spans="1:13" x14ac:dyDescent="0.35">
      <c r="A661" t="s">
        <v>718</v>
      </c>
      <c r="B661" t="s">
        <v>41</v>
      </c>
      <c r="C661" t="s">
        <v>38</v>
      </c>
      <c r="D661" t="s">
        <v>58</v>
      </c>
      <c r="E661">
        <v>49474</v>
      </c>
      <c r="F661">
        <v>0</v>
      </c>
      <c r="G661" s="16" t="s">
        <v>29</v>
      </c>
      <c r="H661" s="3">
        <v>45607</v>
      </c>
      <c r="I661" s="3"/>
      <c r="J661" t="s">
        <v>18</v>
      </c>
      <c r="K661" t="s">
        <v>30</v>
      </c>
      <c r="M661" t="s">
        <v>48</v>
      </c>
    </row>
    <row r="662" spans="1:13" x14ac:dyDescent="0.35">
      <c r="A662" t="s">
        <v>719</v>
      </c>
      <c r="B662" t="s">
        <v>33</v>
      </c>
      <c r="C662" t="s">
        <v>46</v>
      </c>
      <c r="D662" t="s">
        <v>34</v>
      </c>
      <c r="E662">
        <v>24147</v>
      </c>
      <c r="F662">
        <v>22271</v>
      </c>
      <c r="G662" s="16" t="s">
        <v>17</v>
      </c>
      <c r="H662" s="3">
        <v>45534</v>
      </c>
      <c r="I662" s="3">
        <v>45535</v>
      </c>
      <c r="J662" t="s">
        <v>18</v>
      </c>
      <c r="K662" t="s">
        <v>35</v>
      </c>
      <c r="L662">
        <v>1</v>
      </c>
      <c r="M662" t="s">
        <v>44</v>
      </c>
    </row>
    <row r="663" spans="1:13" x14ac:dyDescent="0.35">
      <c r="A663" t="s">
        <v>720</v>
      </c>
      <c r="B663" t="s">
        <v>33</v>
      </c>
      <c r="C663" t="s">
        <v>64</v>
      </c>
      <c r="D663" t="s">
        <v>34</v>
      </c>
      <c r="E663">
        <v>32308</v>
      </c>
      <c r="F663">
        <v>30408</v>
      </c>
      <c r="G663" s="16" t="s">
        <v>17</v>
      </c>
      <c r="H663" s="3">
        <v>45320</v>
      </c>
      <c r="I663" s="3">
        <v>45329</v>
      </c>
      <c r="J663" t="s">
        <v>50</v>
      </c>
      <c r="K663" t="s">
        <v>19</v>
      </c>
      <c r="L663">
        <v>9</v>
      </c>
      <c r="M663" t="s">
        <v>39</v>
      </c>
    </row>
    <row r="664" spans="1:13" x14ac:dyDescent="0.35">
      <c r="A664" t="s">
        <v>721</v>
      </c>
      <c r="B664" t="s">
        <v>41</v>
      </c>
      <c r="C664" t="s">
        <v>15</v>
      </c>
      <c r="D664" t="s">
        <v>28</v>
      </c>
      <c r="E664">
        <v>39840</v>
      </c>
      <c r="F664">
        <v>38203</v>
      </c>
      <c r="G664" s="16" t="s">
        <v>17</v>
      </c>
      <c r="H664" s="3">
        <v>45473</v>
      </c>
      <c r="I664" s="3">
        <v>45475</v>
      </c>
      <c r="J664" t="s">
        <v>18</v>
      </c>
      <c r="K664" t="s">
        <v>43</v>
      </c>
      <c r="L664">
        <v>2</v>
      </c>
      <c r="M664" t="s">
        <v>36</v>
      </c>
    </row>
    <row r="665" spans="1:13" x14ac:dyDescent="0.35">
      <c r="A665" t="s">
        <v>722</v>
      </c>
      <c r="B665" t="s">
        <v>60</v>
      </c>
      <c r="C665" t="s">
        <v>38</v>
      </c>
      <c r="D665" t="s">
        <v>58</v>
      </c>
      <c r="E665">
        <v>43059</v>
      </c>
      <c r="F665">
        <v>0</v>
      </c>
      <c r="G665" s="16" t="s">
        <v>29</v>
      </c>
      <c r="H665" s="3">
        <v>45376</v>
      </c>
      <c r="I665" s="3"/>
      <c r="J665" t="s">
        <v>50</v>
      </c>
      <c r="K665" t="s">
        <v>47</v>
      </c>
      <c r="M665" t="s">
        <v>67</v>
      </c>
    </row>
    <row r="666" spans="1:13" x14ac:dyDescent="0.35">
      <c r="A666" t="s">
        <v>723</v>
      </c>
      <c r="B666" t="s">
        <v>53</v>
      </c>
      <c r="C666" t="s">
        <v>15</v>
      </c>
      <c r="D666" t="s">
        <v>16</v>
      </c>
      <c r="E666">
        <v>48220</v>
      </c>
      <c r="F666">
        <v>46767</v>
      </c>
      <c r="G666" s="16" t="s">
        <v>17</v>
      </c>
      <c r="H666" s="3">
        <v>45308</v>
      </c>
      <c r="I666" s="3">
        <v>45313</v>
      </c>
      <c r="J666" t="s">
        <v>50</v>
      </c>
      <c r="K666" t="s">
        <v>47</v>
      </c>
      <c r="L666">
        <v>5</v>
      </c>
      <c r="M666" t="s">
        <v>39</v>
      </c>
    </row>
    <row r="667" spans="1:13" x14ac:dyDescent="0.35">
      <c r="A667" t="s">
        <v>724</v>
      </c>
      <c r="B667" t="s">
        <v>72</v>
      </c>
      <c r="C667" t="s">
        <v>46</v>
      </c>
      <c r="D667" t="s">
        <v>34</v>
      </c>
      <c r="E667">
        <v>31616</v>
      </c>
      <c r="F667">
        <v>31174</v>
      </c>
      <c r="G667" s="16" t="s">
        <v>17</v>
      </c>
      <c r="H667" s="3">
        <v>45560</v>
      </c>
      <c r="I667" s="3">
        <v>45565</v>
      </c>
      <c r="J667" t="s">
        <v>18</v>
      </c>
      <c r="K667" t="s">
        <v>47</v>
      </c>
      <c r="L667">
        <v>5</v>
      </c>
      <c r="M667" t="s">
        <v>24</v>
      </c>
    </row>
    <row r="668" spans="1:13" x14ac:dyDescent="0.35">
      <c r="A668" t="s">
        <v>725</v>
      </c>
      <c r="B668" t="s">
        <v>41</v>
      </c>
      <c r="C668" t="s">
        <v>15</v>
      </c>
      <c r="D668" t="s">
        <v>28</v>
      </c>
      <c r="E668">
        <v>8068</v>
      </c>
      <c r="F668">
        <v>7032</v>
      </c>
      <c r="G668" s="16" t="s">
        <v>17</v>
      </c>
      <c r="H668" s="3">
        <v>45304</v>
      </c>
      <c r="I668" s="3">
        <v>45312</v>
      </c>
      <c r="J668" t="s">
        <v>18</v>
      </c>
      <c r="K668" t="s">
        <v>47</v>
      </c>
      <c r="L668">
        <v>8</v>
      </c>
      <c r="M668" t="s">
        <v>39</v>
      </c>
    </row>
    <row r="669" spans="1:13" x14ac:dyDescent="0.35">
      <c r="A669" t="s">
        <v>726</v>
      </c>
      <c r="B669" t="s">
        <v>41</v>
      </c>
      <c r="C669" t="s">
        <v>64</v>
      </c>
      <c r="D669" t="s">
        <v>16</v>
      </c>
      <c r="E669">
        <v>23452</v>
      </c>
      <c r="F669">
        <v>21877</v>
      </c>
      <c r="G669" s="16" t="s">
        <v>17</v>
      </c>
      <c r="H669" s="3">
        <v>45342</v>
      </c>
      <c r="I669" s="3">
        <v>45351</v>
      </c>
      <c r="J669" t="s">
        <v>18</v>
      </c>
      <c r="K669" t="s">
        <v>47</v>
      </c>
      <c r="L669">
        <v>9</v>
      </c>
      <c r="M669" t="s">
        <v>20</v>
      </c>
    </row>
    <row r="670" spans="1:13" x14ac:dyDescent="0.35">
      <c r="A670" t="s">
        <v>727</v>
      </c>
      <c r="B670" t="s">
        <v>60</v>
      </c>
      <c r="C670" t="s">
        <v>64</v>
      </c>
      <c r="D670" t="s">
        <v>58</v>
      </c>
      <c r="E670">
        <v>48771</v>
      </c>
      <c r="F670">
        <v>0</v>
      </c>
      <c r="G670" s="16" t="s">
        <v>29</v>
      </c>
      <c r="H670" s="3">
        <v>45351</v>
      </c>
      <c r="I670" s="3"/>
      <c r="J670" t="s">
        <v>18</v>
      </c>
      <c r="K670" t="s">
        <v>43</v>
      </c>
      <c r="M670" t="s">
        <v>20</v>
      </c>
    </row>
    <row r="671" spans="1:13" x14ac:dyDescent="0.35">
      <c r="A671" t="s">
        <v>728</v>
      </c>
      <c r="B671" t="s">
        <v>60</v>
      </c>
      <c r="C671" t="s">
        <v>15</v>
      </c>
      <c r="D671" t="s">
        <v>34</v>
      </c>
      <c r="E671">
        <v>32597</v>
      </c>
      <c r="F671">
        <v>32386</v>
      </c>
      <c r="G671" s="16" t="s">
        <v>17</v>
      </c>
      <c r="H671" s="3">
        <v>45558</v>
      </c>
      <c r="I671" s="3">
        <v>45563</v>
      </c>
      <c r="J671" t="s">
        <v>18</v>
      </c>
      <c r="K671" t="s">
        <v>19</v>
      </c>
      <c r="L671">
        <v>5</v>
      </c>
      <c r="M671" t="s">
        <v>24</v>
      </c>
    </row>
    <row r="672" spans="1:13" x14ac:dyDescent="0.35">
      <c r="A672" t="s">
        <v>729</v>
      </c>
      <c r="B672" t="s">
        <v>96</v>
      </c>
      <c r="C672" t="s">
        <v>46</v>
      </c>
      <c r="D672" t="s">
        <v>34</v>
      </c>
      <c r="E672">
        <v>15143</v>
      </c>
      <c r="F672">
        <v>14557</v>
      </c>
      <c r="G672" s="16" t="s">
        <v>17</v>
      </c>
      <c r="H672" s="3">
        <v>45433</v>
      </c>
      <c r="I672" s="3">
        <v>45442</v>
      </c>
      <c r="J672" t="s">
        <v>50</v>
      </c>
      <c r="K672" t="s">
        <v>30</v>
      </c>
      <c r="L672">
        <v>9</v>
      </c>
      <c r="M672" t="s">
        <v>31</v>
      </c>
    </row>
    <row r="673" spans="1:13" x14ac:dyDescent="0.35">
      <c r="A673" t="s">
        <v>730</v>
      </c>
      <c r="B673" t="s">
        <v>72</v>
      </c>
      <c r="C673" t="s">
        <v>15</v>
      </c>
      <c r="D673" t="s">
        <v>16</v>
      </c>
      <c r="E673">
        <v>11785</v>
      </c>
      <c r="F673">
        <v>11225</v>
      </c>
      <c r="G673" s="16" t="s">
        <v>17</v>
      </c>
      <c r="H673" s="3">
        <v>45350</v>
      </c>
      <c r="I673" s="3">
        <v>45351</v>
      </c>
      <c r="J673" t="s">
        <v>18</v>
      </c>
      <c r="K673" t="s">
        <v>47</v>
      </c>
      <c r="L673">
        <v>1</v>
      </c>
      <c r="M673" t="s">
        <v>20</v>
      </c>
    </row>
    <row r="674" spans="1:13" x14ac:dyDescent="0.35">
      <c r="A674" t="s">
        <v>731</v>
      </c>
      <c r="B674" t="s">
        <v>79</v>
      </c>
      <c r="C674" t="s">
        <v>38</v>
      </c>
      <c r="D674" t="s">
        <v>34</v>
      </c>
      <c r="E674">
        <v>19763</v>
      </c>
      <c r="F674">
        <v>17832</v>
      </c>
      <c r="G674" s="16" t="s">
        <v>17</v>
      </c>
      <c r="H674" s="3">
        <v>45652</v>
      </c>
      <c r="I674" s="3">
        <v>45657</v>
      </c>
      <c r="J674" t="s">
        <v>18</v>
      </c>
      <c r="K674" t="s">
        <v>47</v>
      </c>
      <c r="L674">
        <v>5</v>
      </c>
      <c r="M674" t="s">
        <v>62</v>
      </c>
    </row>
    <row r="675" spans="1:13" x14ac:dyDescent="0.35">
      <c r="A675" t="s">
        <v>732</v>
      </c>
      <c r="B675" t="s">
        <v>14</v>
      </c>
      <c r="C675" t="s">
        <v>38</v>
      </c>
      <c r="D675" t="s">
        <v>34</v>
      </c>
      <c r="E675">
        <v>37427</v>
      </c>
      <c r="F675">
        <v>37324</v>
      </c>
      <c r="G675" s="16" t="s">
        <v>17</v>
      </c>
      <c r="H675" s="3">
        <v>45358</v>
      </c>
      <c r="I675" s="3">
        <v>45359</v>
      </c>
      <c r="J675" t="s">
        <v>50</v>
      </c>
      <c r="K675" t="s">
        <v>56</v>
      </c>
      <c r="L675">
        <v>1</v>
      </c>
      <c r="M675" t="s">
        <v>67</v>
      </c>
    </row>
    <row r="676" spans="1:13" x14ac:dyDescent="0.35">
      <c r="A676" t="s">
        <v>733</v>
      </c>
      <c r="B676" t="s">
        <v>60</v>
      </c>
      <c r="C676" t="s">
        <v>15</v>
      </c>
      <c r="D676" t="s">
        <v>58</v>
      </c>
      <c r="E676">
        <v>5525</v>
      </c>
      <c r="F676">
        <v>4652</v>
      </c>
      <c r="G676" s="16" t="s">
        <v>17</v>
      </c>
      <c r="H676" s="3">
        <v>45492</v>
      </c>
      <c r="I676" s="3">
        <v>45495</v>
      </c>
      <c r="J676" t="s">
        <v>50</v>
      </c>
      <c r="K676" t="s">
        <v>19</v>
      </c>
      <c r="L676">
        <v>3</v>
      </c>
      <c r="M676" t="s">
        <v>85</v>
      </c>
    </row>
    <row r="677" spans="1:13" x14ac:dyDescent="0.35">
      <c r="A677" t="s">
        <v>734</v>
      </c>
      <c r="B677" t="s">
        <v>41</v>
      </c>
      <c r="C677" t="s">
        <v>38</v>
      </c>
      <c r="D677" t="s">
        <v>34</v>
      </c>
      <c r="E677">
        <v>14985</v>
      </c>
      <c r="F677">
        <v>0</v>
      </c>
      <c r="G677" s="16" t="s">
        <v>29</v>
      </c>
      <c r="H677" s="3">
        <v>45332</v>
      </c>
      <c r="I677" s="3"/>
      <c r="J677" t="s">
        <v>50</v>
      </c>
      <c r="K677" t="s">
        <v>19</v>
      </c>
      <c r="M677" t="s">
        <v>20</v>
      </c>
    </row>
    <row r="678" spans="1:13" x14ac:dyDescent="0.35">
      <c r="A678" t="s">
        <v>735</v>
      </c>
      <c r="B678" t="s">
        <v>33</v>
      </c>
      <c r="C678" t="s">
        <v>15</v>
      </c>
      <c r="D678" t="s">
        <v>55</v>
      </c>
      <c r="E678">
        <v>8374</v>
      </c>
      <c r="F678">
        <v>7739</v>
      </c>
      <c r="G678" s="16" t="s">
        <v>17</v>
      </c>
      <c r="H678" s="3">
        <v>45642</v>
      </c>
      <c r="I678" s="3">
        <v>45650</v>
      </c>
      <c r="J678" t="s">
        <v>50</v>
      </c>
      <c r="K678" t="s">
        <v>47</v>
      </c>
      <c r="L678">
        <v>8</v>
      </c>
      <c r="M678" t="s">
        <v>62</v>
      </c>
    </row>
    <row r="679" spans="1:13" x14ac:dyDescent="0.35">
      <c r="A679" t="s">
        <v>736</v>
      </c>
      <c r="B679" t="s">
        <v>26</v>
      </c>
      <c r="C679" t="s">
        <v>73</v>
      </c>
      <c r="D679" t="s">
        <v>16</v>
      </c>
      <c r="E679">
        <v>25819</v>
      </c>
      <c r="F679">
        <v>25444</v>
      </c>
      <c r="G679" s="16" t="s">
        <v>17</v>
      </c>
      <c r="H679" s="3">
        <v>45650</v>
      </c>
      <c r="I679" s="3">
        <v>45656</v>
      </c>
      <c r="J679" t="s">
        <v>50</v>
      </c>
      <c r="K679" t="s">
        <v>35</v>
      </c>
      <c r="L679">
        <v>6</v>
      </c>
      <c r="M679" t="s">
        <v>62</v>
      </c>
    </row>
    <row r="680" spans="1:13" x14ac:dyDescent="0.35">
      <c r="A680" t="s">
        <v>737</v>
      </c>
      <c r="B680" t="s">
        <v>72</v>
      </c>
      <c r="C680" t="s">
        <v>15</v>
      </c>
      <c r="D680" t="s">
        <v>70</v>
      </c>
      <c r="E680">
        <v>33151</v>
      </c>
      <c r="F680">
        <v>32432</v>
      </c>
      <c r="G680" s="16" t="s">
        <v>17</v>
      </c>
      <c r="H680" s="3">
        <v>45537</v>
      </c>
      <c r="I680" s="3">
        <v>45545</v>
      </c>
      <c r="J680" t="s">
        <v>18</v>
      </c>
      <c r="K680" t="s">
        <v>43</v>
      </c>
      <c r="L680">
        <v>8</v>
      </c>
      <c r="M680" t="s">
        <v>24</v>
      </c>
    </row>
    <row r="681" spans="1:13" x14ac:dyDescent="0.35">
      <c r="A681" t="s">
        <v>738</v>
      </c>
      <c r="B681" t="s">
        <v>41</v>
      </c>
      <c r="C681" t="s">
        <v>73</v>
      </c>
      <c r="D681" t="s">
        <v>70</v>
      </c>
      <c r="E681">
        <v>28587</v>
      </c>
      <c r="F681">
        <v>27920</v>
      </c>
      <c r="G681" s="16" t="s">
        <v>17</v>
      </c>
      <c r="H681" s="3">
        <v>45576</v>
      </c>
      <c r="I681" s="3">
        <v>45578</v>
      </c>
      <c r="J681" t="s">
        <v>50</v>
      </c>
      <c r="K681" t="s">
        <v>19</v>
      </c>
      <c r="L681">
        <v>2</v>
      </c>
      <c r="M681" t="s">
        <v>76</v>
      </c>
    </row>
    <row r="682" spans="1:13" x14ac:dyDescent="0.35">
      <c r="A682" t="s">
        <v>739</v>
      </c>
      <c r="B682" t="s">
        <v>72</v>
      </c>
      <c r="C682" t="s">
        <v>27</v>
      </c>
      <c r="D682" t="s">
        <v>58</v>
      </c>
      <c r="E682">
        <v>17635</v>
      </c>
      <c r="F682">
        <v>0</v>
      </c>
      <c r="G682" s="16" t="s">
        <v>29</v>
      </c>
      <c r="H682" s="3">
        <v>45416</v>
      </c>
      <c r="I682" s="3"/>
      <c r="J682" t="s">
        <v>18</v>
      </c>
      <c r="K682" t="s">
        <v>35</v>
      </c>
      <c r="M682" t="s">
        <v>31</v>
      </c>
    </row>
    <row r="683" spans="1:13" x14ac:dyDescent="0.35">
      <c r="A683" t="s">
        <v>740</v>
      </c>
      <c r="B683" t="s">
        <v>22</v>
      </c>
      <c r="C683" t="s">
        <v>15</v>
      </c>
      <c r="D683" t="s">
        <v>34</v>
      </c>
      <c r="E683">
        <v>15647</v>
      </c>
      <c r="F683">
        <v>0</v>
      </c>
      <c r="G683" s="16" t="s">
        <v>29</v>
      </c>
      <c r="H683" s="3">
        <v>45512</v>
      </c>
      <c r="I683" s="3"/>
      <c r="J683" t="s">
        <v>50</v>
      </c>
      <c r="K683" t="s">
        <v>19</v>
      </c>
      <c r="M683" t="s">
        <v>44</v>
      </c>
    </row>
    <row r="684" spans="1:13" x14ac:dyDescent="0.35">
      <c r="A684" t="s">
        <v>741</v>
      </c>
      <c r="B684" t="s">
        <v>41</v>
      </c>
      <c r="C684" t="s">
        <v>46</v>
      </c>
      <c r="D684" t="s">
        <v>61</v>
      </c>
      <c r="E684">
        <v>45424</v>
      </c>
      <c r="F684">
        <v>43910</v>
      </c>
      <c r="G684" s="16" t="s">
        <v>17</v>
      </c>
      <c r="H684" s="3">
        <v>45656</v>
      </c>
      <c r="I684" s="3">
        <v>45666</v>
      </c>
      <c r="J684" t="s">
        <v>50</v>
      </c>
      <c r="K684" t="s">
        <v>47</v>
      </c>
      <c r="L684">
        <v>10</v>
      </c>
      <c r="M684" t="s">
        <v>62</v>
      </c>
    </row>
    <row r="685" spans="1:13" x14ac:dyDescent="0.35">
      <c r="A685" t="s">
        <v>742</v>
      </c>
      <c r="B685" t="s">
        <v>53</v>
      </c>
      <c r="C685" t="s">
        <v>64</v>
      </c>
      <c r="D685" t="s">
        <v>34</v>
      </c>
      <c r="E685">
        <v>38378</v>
      </c>
      <c r="F685">
        <v>36695</v>
      </c>
      <c r="G685" s="16" t="s">
        <v>17</v>
      </c>
      <c r="H685" s="3">
        <v>45519</v>
      </c>
      <c r="I685" s="3">
        <v>45522</v>
      </c>
      <c r="J685" t="s">
        <v>50</v>
      </c>
      <c r="K685" t="s">
        <v>35</v>
      </c>
      <c r="L685">
        <v>3</v>
      </c>
      <c r="M685" t="s">
        <v>44</v>
      </c>
    </row>
    <row r="686" spans="1:13" x14ac:dyDescent="0.35">
      <c r="A686" t="s">
        <v>743</v>
      </c>
      <c r="B686" t="s">
        <v>14</v>
      </c>
      <c r="C686" t="s">
        <v>15</v>
      </c>
      <c r="D686" t="s">
        <v>58</v>
      </c>
      <c r="E686">
        <v>23457</v>
      </c>
      <c r="F686">
        <v>22137</v>
      </c>
      <c r="G686" s="16" t="s">
        <v>17</v>
      </c>
      <c r="H686" s="3">
        <v>45630</v>
      </c>
      <c r="I686" s="3">
        <v>45631</v>
      </c>
      <c r="J686" t="s">
        <v>18</v>
      </c>
      <c r="K686" t="s">
        <v>47</v>
      </c>
      <c r="L686">
        <v>1</v>
      </c>
      <c r="M686" t="s">
        <v>62</v>
      </c>
    </row>
    <row r="687" spans="1:13" x14ac:dyDescent="0.35">
      <c r="A687" t="s">
        <v>744</v>
      </c>
      <c r="B687" t="s">
        <v>33</v>
      </c>
      <c r="C687" t="s">
        <v>15</v>
      </c>
      <c r="D687" t="s">
        <v>61</v>
      </c>
      <c r="E687">
        <v>45311</v>
      </c>
      <c r="F687">
        <v>44384</v>
      </c>
      <c r="G687" s="16" t="s">
        <v>17</v>
      </c>
      <c r="H687" s="3">
        <v>45564</v>
      </c>
      <c r="I687" s="3">
        <v>45569</v>
      </c>
      <c r="J687" t="s">
        <v>50</v>
      </c>
      <c r="K687" t="s">
        <v>19</v>
      </c>
      <c r="L687">
        <v>5</v>
      </c>
      <c r="M687" t="s">
        <v>24</v>
      </c>
    </row>
    <row r="688" spans="1:13" x14ac:dyDescent="0.35">
      <c r="A688" t="s">
        <v>745</v>
      </c>
      <c r="B688" t="s">
        <v>53</v>
      </c>
      <c r="C688" t="s">
        <v>64</v>
      </c>
      <c r="D688" t="s">
        <v>28</v>
      </c>
      <c r="E688">
        <v>15478</v>
      </c>
      <c r="F688">
        <v>14865</v>
      </c>
      <c r="G688" s="16" t="s">
        <v>17</v>
      </c>
      <c r="H688" s="3">
        <v>45583</v>
      </c>
      <c r="I688" s="3">
        <v>45588</v>
      </c>
      <c r="J688" t="s">
        <v>50</v>
      </c>
      <c r="K688" t="s">
        <v>56</v>
      </c>
      <c r="L688">
        <v>5</v>
      </c>
      <c r="M688" t="s">
        <v>76</v>
      </c>
    </row>
    <row r="689" spans="1:13" x14ac:dyDescent="0.35">
      <c r="A689" t="s">
        <v>746</v>
      </c>
      <c r="B689" t="s">
        <v>41</v>
      </c>
      <c r="C689" t="s">
        <v>15</v>
      </c>
      <c r="D689" t="s">
        <v>23</v>
      </c>
      <c r="E689">
        <v>42074</v>
      </c>
      <c r="F689">
        <v>0</v>
      </c>
      <c r="G689" s="16" t="s">
        <v>29</v>
      </c>
      <c r="H689" s="3">
        <v>45498</v>
      </c>
      <c r="I689" s="3"/>
      <c r="J689" t="s">
        <v>18</v>
      </c>
      <c r="K689" t="s">
        <v>30</v>
      </c>
      <c r="M689" t="s">
        <v>85</v>
      </c>
    </row>
    <row r="690" spans="1:13" x14ac:dyDescent="0.35">
      <c r="A690" t="s">
        <v>747</v>
      </c>
      <c r="B690" t="s">
        <v>96</v>
      </c>
      <c r="C690" t="s">
        <v>15</v>
      </c>
      <c r="D690" t="s">
        <v>34</v>
      </c>
      <c r="E690">
        <v>37971</v>
      </c>
      <c r="F690">
        <v>37970</v>
      </c>
      <c r="G690" s="16" t="s">
        <v>17</v>
      </c>
      <c r="H690" s="3">
        <v>45652</v>
      </c>
      <c r="I690" s="3">
        <v>45661</v>
      </c>
      <c r="J690" t="s">
        <v>50</v>
      </c>
      <c r="K690" t="s">
        <v>47</v>
      </c>
      <c r="L690">
        <v>9</v>
      </c>
      <c r="M690" t="s">
        <v>62</v>
      </c>
    </row>
    <row r="691" spans="1:13" x14ac:dyDescent="0.35">
      <c r="A691" t="s">
        <v>748</v>
      </c>
      <c r="B691" t="s">
        <v>96</v>
      </c>
      <c r="C691" t="s">
        <v>15</v>
      </c>
      <c r="D691" t="s">
        <v>28</v>
      </c>
      <c r="E691">
        <v>30292</v>
      </c>
      <c r="F691">
        <v>0</v>
      </c>
      <c r="G691" s="16" t="s">
        <v>29</v>
      </c>
      <c r="H691" s="3">
        <v>45493</v>
      </c>
      <c r="I691" s="3"/>
      <c r="J691" t="s">
        <v>50</v>
      </c>
      <c r="K691" t="s">
        <v>56</v>
      </c>
      <c r="M691" t="s">
        <v>85</v>
      </c>
    </row>
    <row r="692" spans="1:13" x14ac:dyDescent="0.35">
      <c r="A692" t="s">
        <v>749</v>
      </c>
      <c r="B692" t="s">
        <v>22</v>
      </c>
      <c r="C692" t="s">
        <v>27</v>
      </c>
      <c r="D692" t="s">
        <v>58</v>
      </c>
      <c r="E692">
        <v>30520</v>
      </c>
      <c r="F692">
        <v>0</v>
      </c>
      <c r="G692" s="16" t="s">
        <v>29</v>
      </c>
      <c r="H692" s="3">
        <v>45400</v>
      </c>
      <c r="I692" s="3"/>
      <c r="J692" t="s">
        <v>18</v>
      </c>
      <c r="K692" t="s">
        <v>35</v>
      </c>
      <c r="M692" t="s">
        <v>51</v>
      </c>
    </row>
    <row r="693" spans="1:13" x14ac:dyDescent="0.35">
      <c r="A693" t="s">
        <v>750</v>
      </c>
      <c r="B693" t="s">
        <v>33</v>
      </c>
      <c r="C693" t="s">
        <v>46</v>
      </c>
      <c r="D693" t="s">
        <v>58</v>
      </c>
      <c r="E693">
        <v>25611</v>
      </c>
      <c r="F693">
        <v>25296</v>
      </c>
      <c r="G693" s="16" t="s">
        <v>17</v>
      </c>
      <c r="H693" s="3">
        <v>45439</v>
      </c>
      <c r="I693" s="3">
        <v>45442</v>
      </c>
      <c r="J693" t="s">
        <v>18</v>
      </c>
      <c r="K693" t="s">
        <v>47</v>
      </c>
      <c r="L693">
        <v>3</v>
      </c>
      <c r="M693" t="s">
        <v>31</v>
      </c>
    </row>
    <row r="694" spans="1:13" x14ac:dyDescent="0.35">
      <c r="A694" t="s">
        <v>751</v>
      </c>
      <c r="B694" t="s">
        <v>14</v>
      </c>
      <c r="C694" t="s">
        <v>15</v>
      </c>
      <c r="D694" t="s">
        <v>61</v>
      </c>
      <c r="E694">
        <v>49273</v>
      </c>
      <c r="F694">
        <v>47926</v>
      </c>
      <c r="G694" s="16" t="s">
        <v>17</v>
      </c>
      <c r="H694" s="3">
        <v>45515</v>
      </c>
      <c r="I694" s="3">
        <v>45518</v>
      </c>
      <c r="J694" t="s">
        <v>18</v>
      </c>
      <c r="K694" t="s">
        <v>47</v>
      </c>
      <c r="L694">
        <v>3</v>
      </c>
      <c r="M694" t="s">
        <v>44</v>
      </c>
    </row>
    <row r="695" spans="1:13" x14ac:dyDescent="0.35">
      <c r="A695" t="s">
        <v>752</v>
      </c>
      <c r="B695" t="s">
        <v>22</v>
      </c>
      <c r="C695" t="s">
        <v>64</v>
      </c>
      <c r="D695" t="s">
        <v>58</v>
      </c>
      <c r="E695">
        <v>42845</v>
      </c>
      <c r="F695">
        <v>41915</v>
      </c>
      <c r="G695" s="16" t="s">
        <v>17</v>
      </c>
      <c r="H695" s="3">
        <v>45552</v>
      </c>
      <c r="I695" s="3">
        <v>45559</v>
      </c>
      <c r="J695" t="s">
        <v>50</v>
      </c>
      <c r="K695" t="s">
        <v>35</v>
      </c>
      <c r="L695">
        <v>7</v>
      </c>
      <c r="M695" t="s">
        <v>24</v>
      </c>
    </row>
    <row r="696" spans="1:13" x14ac:dyDescent="0.35">
      <c r="A696" t="s">
        <v>753</v>
      </c>
      <c r="B696" t="s">
        <v>41</v>
      </c>
      <c r="C696" t="s">
        <v>46</v>
      </c>
      <c r="D696" t="s">
        <v>61</v>
      </c>
      <c r="E696">
        <v>29837</v>
      </c>
      <c r="F696">
        <v>0</v>
      </c>
      <c r="G696" s="16" t="s">
        <v>29</v>
      </c>
      <c r="H696" s="3">
        <v>45295</v>
      </c>
      <c r="I696" s="3"/>
      <c r="J696" t="s">
        <v>50</v>
      </c>
      <c r="K696" t="s">
        <v>30</v>
      </c>
      <c r="M696" t="s">
        <v>39</v>
      </c>
    </row>
    <row r="697" spans="1:13" x14ac:dyDescent="0.35">
      <c r="A697" t="s">
        <v>754</v>
      </c>
      <c r="B697" t="s">
        <v>26</v>
      </c>
      <c r="C697" t="s">
        <v>38</v>
      </c>
      <c r="D697" t="s">
        <v>58</v>
      </c>
      <c r="E697">
        <v>37793</v>
      </c>
      <c r="F697">
        <v>0</v>
      </c>
      <c r="G697" s="16" t="s">
        <v>29</v>
      </c>
      <c r="H697" s="3">
        <v>45479</v>
      </c>
      <c r="I697" s="3"/>
      <c r="J697" t="s">
        <v>18</v>
      </c>
      <c r="K697" t="s">
        <v>47</v>
      </c>
      <c r="M697" t="s">
        <v>85</v>
      </c>
    </row>
    <row r="698" spans="1:13" x14ac:dyDescent="0.35">
      <c r="A698" t="s">
        <v>755</v>
      </c>
      <c r="B698" t="s">
        <v>53</v>
      </c>
      <c r="C698" t="s">
        <v>64</v>
      </c>
      <c r="D698" t="s">
        <v>34</v>
      </c>
      <c r="E698">
        <v>9416</v>
      </c>
      <c r="F698">
        <v>0</v>
      </c>
      <c r="G698" s="16" t="s">
        <v>29</v>
      </c>
      <c r="H698" s="3">
        <v>45538</v>
      </c>
      <c r="I698" s="3"/>
      <c r="J698" t="s">
        <v>18</v>
      </c>
      <c r="K698" t="s">
        <v>47</v>
      </c>
      <c r="M698" t="s">
        <v>24</v>
      </c>
    </row>
    <row r="699" spans="1:13" x14ac:dyDescent="0.35">
      <c r="A699" t="s">
        <v>756</v>
      </c>
      <c r="B699" t="s">
        <v>79</v>
      </c>
      <c r="C699" t="s">
        <v>38</v>
      </c>
      <c r="D699" t="s">
        <v>55</v>
      </c>
      <c r="E699">
        <v>35878</v>
      </c>
      <c r="F699">
        <v>34807</v>
      </c>
      <c r="G699" s="16" t="s">
        <v>17</v>
      </c>
      <c r="H699" s="3">
        <v>45604</v>
      </c>
      <c r="I699" s="3">
        <v>45606</v>
      </c>
      <c r="J699" t="s">
        <v>18</v>
      </c>
      <c r="K699" t="s">
        <v>35</v>
      </c>
      <c r="L699">
        <v>2</v>
      </c>
      <c r="M699" t="s">
        <v>48</v>
      </c>
    </row>
    <row r="700" spans="1:13" x14ac:dyDescent="0.35">
      <c r="A700" t="s">
        <v>757</v>
      </c>
      <c r="B700" t="s">
        <v>14</v>
      </c>
      <c r="C700" t="s">
        <v>38</v>
      </c>
      <c r="D700" t="s">
        <v>23</v>
      </c>
      <c r="E700">
        <v>24514</v>
      </c>
      <c r="F700">
        <v>0</v>
      </c>
      <c r="G700" s="16" t="s">
        <v>29</v>
      </c>
      <c r="H700" s="3">
        <v>45297</v>
      </c>
      <c r="I700" s="3"/>
      <c r="J700" t="s">
        <v>50</v>
      </c>
      <c r="K700" t="s">
        <v>35</v>
      </c>
      <c r="M700" t="s">
        <v>39</v>
      </c>
    </row>
    <row r="701" spans="1:13" x14ac:dyDescent="0.35">
      <c r="A701" t="s">
        <v>758</v>
      </c>
      <c r="B701" t="s">
        <v>79</v>
      </c>
      <c r="C701" t="s">
        <v>64</v>
      </c>
      <c r="D701" t="s">
        <v>34</v>
      </c>
      <c r="E701">
        <v>29591</v>
      </c>
      <c r="F701">
        <v>27624</v>
      </c>
      <c r="G701" s="16" t="s">
        <v>17</v>
      </c>
      <c r="H701" s="3">
        <v>45442</v>
      </c>
      <c r="I701" s="3">
        <v>45447</v>
      </c>
      <c r="J701" t="s">
        <v>18</v>
      </c>
      <c r="K701" t="s">
        <v>47</v>
      </c>
      <c r="L701">
        <v>5</v>
      </c>
      <c r="M701" t="s">
        <v>31</v>
      </c>
    </row>
    <row r="702" spans="1:13" x14ac:dyDescent="0.35">
      <c r="A702" t="s">
        <v>759</v>
      </c>
      <c r="B702" t="s">
        <v>53</v>
      </c>
      <c r="C702" t="s">
        <v>38</v>
      </c>
      <c r="D702" t="s">
        <v>16</v>
      </c>
      <c r="E702">
        <v>6025</v>
      </c>
      <c r="F702">
        <v>4841</v>
      </c>
      <c r="G702" s="16" t="s">
        <v>17</v>
      </c>
      <c r="H702" s="3">
        <v>45378</v>
      </c>
      <c r="I702" s="3">
        <v>45388</v>
      </c>
      <c r="J702" t="s">
        <v>18</v>
      </c>
      <c r="K702" t="s">
        <v>56</v>
      </c>
      <c r="L702">
        <v>10</v>
      </c>
      <c r="M702" t="s">
        <v>67</v>
      </c>
    </row>
    <row r="703" spans="1:13" x14ac:dyDescent="0.35">
      <c r="A703" t="s">
        <v>760</v>
      </c>
      <c r="B703" t="s">
        <v>96</v>
      </c>
      <c r="C703" t="s">
        <v>15</v>
      </c>
      <c r="D703" t="s">
        <v>16</v>
      </c>
      <c r="E703">
        <v>33769</v>
      </c>
      <c r="F703">
        <v>33510</v>
      </c>
      <c r="G703" s="16" t="s">
        <v>17</v>
      </c>
      <c r="H703" s="3">
        <v>45550</v>
      </c>
      <c r="I703" s="3">
        <v>45552</v>
      </c>
      <c r="J703" t="s">
        <v>50</v>
      </c>
      <c r="K703" t="s">
        <v>43</v>
      </c>
      <c r="L703">
        <v>2</v>
      </c>
      <c r="M703" t="s">
        <v>24</v>
      </c>
    </row>
    <row r="704" spans="1:13" x14ac:dyDescent="0.35">
      <c r="A704" t="s">
        <v>761</v>
      </c>
      <c r="B704" t="s">
        <v>33</v>
      </c>
      <c r="C704" t="s">
        <v>38</v>
      </c>
      <c r="D704" t="s">
        <v>16</v>
      </c>
      <c r="E704">
        <v>18839</v>
      </c>
      <c r="F704">
        <v>17321</v>
      </c>
      <c r="G704" s="16" t="s">
        <v>17</v>
      </c>
      <c r="H704" s="3">
        <v>45349</v>
      </c>
      <c r="I704" s="3">
        <v>45359</v>
      </c>
      <c r="J704" t="s">
        <v>18</v>
      </c>
      <c r="K704" t="s">
        <v>19</v>
      </c>
      <c r="L704">
        <v>10</v>
      </c>
      <c r="M704" t="s">
        <v>20</v>
      </c>
    </row>
    <row r="705" spans="1:13" x14ac:dyDescent="0.35">
      <c r="A705" t="s">
        <v>762</v>
      </c>
      <c r="B705" t="s">
        <v>33</v>
      </c>
      <c r="C705" t="s">
        <v>64</v>
      </c>
      <c r="D705" t="s">
        <v>34</v>
      </c>
      <c r="E705">
        <v>13494</v>
      </c>
      <c r="F705">
        <v>11892</v>
      </c>
      <c r="G705" s="16" t="s">
        <v>17</v>
      </c>
      <c r="H705" s="3">
        <v>45650</v>
      </c>
      <c r="I705" s="3">
        <v>45654</v>
      </c>
      <c r="J705" t="s">
        <v>50</v>
      </c>
      <c r="K705" t="s">
        <v>47</v>
      </c>
      <c r="L705">
        <v>4</v>
      </c>
      <c r="M705" t="s">
        <v>62</v>
      </c>
    </row>
    <row r="706" spans="1:13" x14ac:dyDescent="0.35">
      <c r="A706" t="s">
        <v>763</v>
      </c>
      <c r="B706" t="s">
        <v>79</v>
      </c>
      <c r="C706" t="s">
        <v>15</v>
      </c>
      <c r="D706" t="s">
        <v>34</v>
      </c>
      <c r="E706">
        <v>7531</v>
      </c>
      <c r="F706">
        <v>6312</v>
      </c>
      <c r="G706" s="16" t="s">
        <v>17</v>
      </c>
      <c r="H706" s="3">
        <v>45370</v>
      </c>
      <c r="I706" s="3">
        <v>45378</v>
      </c>
      <c r="J706" t="s">
        <v>50</v>
      </c>
      <c r="K706" t="s">
        <v>30</v>
      </c>
      <c r="L706">
        <v>8</v>
      </c>
      <c r="M706" t="s">
        <v>67</v>
      </c>
    </row>
    <row r="707" spans="1:13" x14ac:dyDescent="0.35">
      <c r="A707" t="s">
        <v>764</v>
      </c>
      <c r="B707" t="s">
        <v>22</v>
      </c>
      <c r="C707" t="s">
        <v>46</v>
      </c>
      <c r="D707" t="s">
        <v>55</v>
      </c>
      <c r="E707">
        <v>49579</v>
      </c>
      <c r="F707">
        <v>49148</v>
      </c>
      <c r="G707" s="16" t="s">
        <v>17</v>
      </c>
      <c r="H707" s="3">
        <v>45587</v>
      </c>
      <c r="I707" s="3">
        <v>45593</v>
      </c>
      <c r="J707" t="s">
        <v>18</v>
      </c>
      <c r="K707" t="s">
        <v>56</v>
      </c>
      <c r="L707">
        <v>6</v>
      </c>
      <c r="M707" t="s">
        <v>76</v>
      </c>
    </row>
    <row r="708" spans="1:13" x14ac:dyDescent="0.35">
      <c r="A708" t="s">
        <v>765</v>
      </c>
      <c r="B708" t="s">
        <v>96</v>
      </c>
      <c r="C708" t="s">
        <v>15</v>
      </c>
      <c r="D708" t="s">
        <v>23</v>
      </c>
      <c r="E708">
        <v>12983</v>
      </c>
      <c r="F708">
        <v>12167</v>
      </c>
      <c r="G708" s="16" t="s">
        <v>17</v>
      </c>
      <c r="H708" s="3">
        <v>45535</v>
      </c>
      <c r="I708" s="3">
        <v>45540</v>
      </c>
      <c r="J708" t="s">
        <v>50</v>
      </c>
      <c r="K708" t="s">
        <v>56</v>
      </c>
      <c r="L708">
        <v>5</v>
      </c>
      <c r="M708" t="s">
        <v>44</v>
      </c>
    </row>
    <row r="709" spans="1:13" x14ac:dyDescent="0.35">
      <c r="A709" t="s">
        <v>766</v>
      </c>
      <c r="B709" t="s">
        <v>79</v>
      </c>
      <c r="C709" t="s">
        <v>46</v>
      </c>
      <c r="D709" t="s">
        <v>58</v>
      </c>
      <c r="E709">
        <v>46794</v>
      </c>
      <c r="F709">
        <v>45823</v>
      </c>
      <c r="G709" s="16" t="s">
        <v>17</v>
      </c>
      <c r="H709" s="3">
        <v>45426</v>
      </c>
      <c r="I709" s="3">
        <v>45429</v>
      </c>
      <c r="J709" t="s">
        <v>50</v>
      </c>
      <c r="K709" t="s">
        <v>47</v>
      </c>
      <c r="L709">
        <v>3</v>
      </c>
      <c r="M709" t="s">
        <v>31</v>
      </c>
    </row>
    <row r="710" spans="1:13" x14ac:dyDescent="0.35">
      <c r="A710" t="s">
        <v>767</v>
      </c>
      <c r="B710" t="s">
        <v>96</v>
      </c>
      <c r="C710" t="s">
        <v>64</v>
      </c>
      <c r="D710" t="s">
        <v>58</v>
      </c>
      <c r="E710">
        <v>46465</v>
      </c>
      <c r="F710">
        <v>44496</v>
      </c>
      <c r="G710" s="16" t="s">
        <v>17</v>
      </c>
      <c r="H710" s="3">
        <v>45563</v>
      </c>
      <c r="I710" s="3">
        <v>45564</v>
      </c>
      <c r="J710" t="s">
        <v>18</v>
      </c>
      <c r="K710" t="s">
        <v>19</v>
      </c>
      <c r="L710">
        <v>1</v>
      </c>
      <c r="M710" t="s">
        <v>24</v>
      </c>
    </row>
    <row r="711" spans="1:13" x14ac:dyDescent="0.35">
      <c r="A711" t="s">
        <v>768</v>
      </c>
      <c r="B711" t="s">
        <v>41</v>
      </c>
      <c r="C711" t="s">
        <v>27</v>
      </c>
      <c r="D711" t="s">
        <v>16</v>
      </c>
      <c r="E711">
        <v>23952</v>
      </c>
      <c r="F711">
        <v>23406</v>
      </c>
      <c r="G711" s="16" t="s">
        <v>17</v>
      </c>
      <c r="H711" s="3">
        <v>45342</v>
      </c>
      <c r="I711" s="3">
        <v>45347</v>
      </c>
      <c r="J711" t="s">
        <v>50</v>
      </c>
      <c r="K711" t="s">
        <v>35</v>
      </c>
      <c r="L711">
        <v>5</v>
      </c>
      <c r="M711" t="s">
        <v>20</v>
      </c>
    </row>
    <row r="712" spans="1:13" x14ac:dyDescent="0.35">
      <c r="A712" t="s">
        <v>769</v>
      </c>
      <c r="B712" t="s">
        <v>26</v>
      </c>
      <c r="C712" t="s">
        <v>46</v>
      </c>
      <c r="D712" t="s">
        <v>34</v>
      </c>
      <c r="E712">
        <v>46414</v>
      </c>
      <c r="F712">
        <v>45773</v>
      </c>
      <c r="G712" s="16" t="s">
        <v>17</v>
      </c>
      <c r="H712" s="3">
        <v>45572</v>
      </c>
      <c r="I712" s="3">
        <v>45573</v>
      </c>
      <c r="J712" t="s">
        <v>18</v>
      </c>
      <c r="K712" t="s">
        <v>30</v>
      </c>
      <c r="L712">
        <v>1</v>
      </c>
      <c r="M712" t="s">
        <v>76</v>
      </c>
    </row>
    <row r="713" spans="1:13" x14ac:dyDescent="0.35">
      <c r="A713" t="s">
        <v>770</v>
      </c>
      <c r="B713" t="s">
        <v>14</v>
      </c>
      <c r="C713" t="s">
        <v>15</v>
      </c>
      <c r="D713" t="s">
        <v>58</v>
      </c>
      <c r="E713">
        <v>8402</v>
      </c>
      <c r="F713">
        <v>0</v>
      </c>
      <c r="G713" s="16" t="s">
        <v>29</v>
      </c>
      <c r="H713" s="3">
        <v>45345</v>
      </c>
      <c r="I713" s="3"/>
      <c r="J713" t="s">
        <v>50</v>
      </c>
      <c r="K713" t="s">
        <v>43</v>
      </c>
      <c r="M713" t="s">
        <v>20</v>
      </c>
    </row>
    <row r="714" spans="1:13" x14ac:dyDescent="0.35">
      <c r="A714" t="s">
        <v>771</v>
      </c>
      <c r="B714" t="s">
        <v>26</v>
      </c>
      <c r="C714" t="s">
        <v>38</v>
      </c>
      <c r="D714" t="s">
        <v>16</v>
      </c>
      <c r="E714">
        <v>14653</v>
      </c>
      <c r="F714">
        <v>14605</v>
      </c>
      <c r="G714" s="16" t="s">
        <v>17</v>
      </c>
      <c r="H714" s="3">
        <v>45609</v>
      </c>
      <c r="I714" s="3">
        <v>45611</v>
      </c>
      <c r="J714" t="s">
        <v>18</v>
      </c>
      <c r="K714" t="s">
        <v>19</v>
      </c>
      <c r="L714">
        <v>2</v>
      </c>
      <c r="M714" t="s">
        <v>48</v>
      </c>
    </row>
    <row r="715" spans="1:13" x14ac:dyDescent="0.35">
      <c r="A715" t="s">
        <v>772</v>
      </c>
      <c r="B715" t="s">
        <v>26</v>
      </c>
      <c r="C715" t="s">
        <v>15</v>
      </c>
      <c r="D715" t="s">
        <v>70</v>
      </c>
      <c r="E715">
        <v>7661</v>
      </c>
      <c r="F715">
        <v>0</v>
      </c>
      <c r="G715" s="16" t="s">
        <v>29</v>
      </c>
      <c r="H715" s="3">
        <v>45358</v>
      </c>
      <c r="I715" s="3"/>
      <c r="J715" t="s">
        <v>50</v>
      </c>
      <c r="K715" t="s">
        <v>56</v>
      </c>
      <c r="M715" t="s">
        <v>67</v>
      </c>
    </row>
    <row r="716" spans="1:13" x14ac:dyDescent="0.35">
      <c r="A716" t="s">
        <v>773</v>
      </c>
      <c r="B716" t="s">
        <v>53</v>
      </c>
      <c r="C716" t="s">
        <v>73</v>
      </c>
      <c r="D716" t="s">
        <v>70</v>
      </c>
      <c r="E716">
        <v>47590</v>
      </c>
      <c r="F716">
        <v>47072</v>
      </c>
      <c r="G716" s="16" t="s">
        <v>17</v>
      </c>
      <c r="H716" s="3">
        <v>45442</v>
      </c>
      <c r="I716" s="3">
        <v>45450</v>
      </c>
      <c r="J716" t="s">
        <v>18</v>
      </c>
      <c r="K716" t="s">
        <v>56</v>
      </c>
      <c r="L716">
        <v>8</v>
      </c>
      <c r="M716" t="s">
        <v>31</v>
      </c>
    </row>
    <row r="717" spans="1:13" x14ac:dyDescent="0.35">
      <c r="A717" t="s">
        <v>774</v>
      </c>
      <c r="B717" t="s">
        <v>72</v>
      </c>
      <c r="C717" t="s">
        <v>38</v>
      </c>
      <c r="D717" t="s">
        <v>58</v>
      </c>
      <c r="E717">
        <v>47365</v>
      </c>
      <c r="F717">
        <v>46838</v>
      </c>
      <c r="G717" s="16" t="s">
        <v>17</v>
      </c>
      <c r="H717" s="3">
        <v>45374</v>
      </c>
      <c r="I717" s="3">
        <v>45376</v>
      </c>
      <c r="J717" t="s">
        <v>50</v>
      </c>
      <c r="K717" t="s">
        <v>30</v>
      </c>
      <c r="L717">
        <v>2</v>
      </c>
      <c r="M717" t="s">
        <v>67</v>
      </c>
    </row>
    <row r="718" spans="1:13" x14ac:dyDescent="0.35">
      <c r="A718" t="s">
        <v>775</v>
      </c>
      <c r="B718" t="s">
        <v>60</v>
      </c>
      <c r="C718" t="s">
        <v>27</v>
      </c>
      <c r="D718" t="s">
        <v>58</v>
      </c>
      <c r="E718">
        <v>23800</v>
      </c>
      <c r="F718">
        <v>23272</v>
      </c>
      <c r="G718" s="16" t="s">
        <v>17</v>
      </c>
      <c r="H718" s="3">
        <v>45427</v>
      </c>
      <c r="I718" s="3">
        <v>45430</v>
      </c>
      <c r="J718" t="s">
        <v>50</v>
      </c>
      <c r="K718" t="s">
        <v>47</v>
      </c>
      <c r="L718">
        <v>3</v>
      </c>
      <c r="M718" t="s">
        <v>31</v>
      </c>
    </row>
    <row r="719" spans="1:13" x14ac:dyDescent="0.35">
      <c r="A719" t="s">
        <v>776</v>
      </c>
      <c r="B719" t="s">
        <v>72</v>
      </c>
      <c r="C719" t="s">
        <v>46</v>
      </c>
      <c r="D719" t="s">
        <v>58</v>
      </c>
      <c r="E719">
        <v>13694</v>
      </c>
      <c r="F719">
        <v>13472</v>
      </c>
      <c r="G719" s="16" t="s">
        <v>17</v>
      </c>
      <c r="H719" s="3">
        <v>45365</v>
      </c>
      <c r="I719" s="3">
        <v>45374</v>
      </c>
      <c r="J719" t="s">
        <v>50</v>
      </c>
      <c r="K719" t="s">
        <v>47</v>
      </c>
      <c r="L719">
        <v>9</v>
      </c>
      <c r="M719" t="s">
        <v>67</v>
      </c>
    </row>
    <row r="720" spans="1:13" x14ac:dyDescent="0.35">
      <c r="A720" t="s">
        <v>777</v>
      </c>
      <c r="B720" t="s">
        <v>53</v>
      </c>
      <c r="C720" t="s">
        <v>15</v>
      </c>
      <c r="D720" t="s">
        <v>55</v>
      </c>
      <c r="E720">
        <v>48884</v>
      </c>
      <c r="F720">
        <v>48673</v>
      </c>
      <c r="G720" s="16" t="s">
        <v>17</v>
      </c>
      <c r="H720" s="3">
        <v>45309</v>
      </c>
      <c r="I720" s="3">
        <v>45311</v>
      </c>
      <c r="J720" t="s">
        <v>18</v>
      </c>
      <c r="K720" t="s">
        <v>19</v>
      </c>
      <c r="L720">
        <v>2</v>
      </c>
      <c r="M720" t="s">
        <v>39</v>
      </c>
    </row>
    <row r="721" spans="1:13" x14ac:dyDescent="0.35">
      <c r="A721" t="s">
        <v>778</v>
      </c>
      <c r="B721" t="s">
        <v>96</v>
      </c>
      <c r="C721" t="s">
        <v>64</v>
      </c>
      <c r="D721" t="s">
        <v>23</v>
      </c>
      <c r="E721">
        <v>34617</v>
      </c>
      <c r="F721">
        <v>33280</v>
      </c>
      <c r="G721" s="16" t="s">
        <v>17</v>
      </c>
      <c r="H721" s="3">
        <v>45619</v>
      </c>
      <c r="I721" s="3">
        <v>45620</v>
      </c>
      <c r="J721" t="s">
        <v>18</v>
      </c>
      <c r="K721" t="s">
        <v>56</v>
      </c>
      <c r="L721">
        <v>1</v>
      </c>
      <c r="M721" t="s">
        <v>48</v>
      </c>
    </row>
    <row r="722" spans="1:13" x14ac:dyDescent="0.35">
      <c r="A722" t="s">
        <v>779</v>
      </c>
      <c r="B722" t="s">
        <v>22</v>
      </c>
      <c r="C722" t="s">
        <v>38</v>
      </c>
      <c r="D722" t="s">
        <v>61</v>
      </c>
      <c r="E722">
        <v>47878</v>
      </c>
      <c r="F722">
        <v>46026</v>
      </c>
      <c r="G722" s="16" t="s">
        <v>17</v>
      </c>
      <c r="H722" s="3">
        <v>45492</v>
      </c>
      <c r="I722" s="3">
        <v>45502</v>
      </c>
      <c r="J722" t="s">
        <v>18</v>
      </c>
      <c r="K722" t="s">
        <v>19</v>
      </c>
      <c r="L722">
        <v>10</v>
      </c>
      <c r="M722" t="s">
        <v>85</v>
      </c>
    </row>
    <row r="723" spans="1:13" x14ac:dyDescent="0.35">
      <c r="A723" t="s">
        <v>780</v>
      </c>
      <c r="B723" t="s">
        <v>72</v>
      </c>
      <c r="C723" t="s">
        <v>64</v>
      </c>
      <c r="D723" t="s">
        <v>58</v>
      </c>
      <c r="E723">
        <v>28470</v>
      </c>
      <c r="F723">
        <v>27364</v>
      </c>
      <c r="G723" s="16" t="s">
        <v>17</v>
      </c>
      <c r="H723" s="3">
        <v>45407</v>
      </c>
      <c r="I723" s="3">
        <v>45408</v>
      </c>
      <c r="J723" t="s">
        <v>50</v>
      </c>
      <c r="K723" t="s">
        <v>56</v>
      </c>
      <c r="L723">
        <v>1</v>
      </c>
      <c r="M723" t="s">
        <v>51</v>
      </c>
    </row>
    <row r="724" spans="1:13" x14ac:dyDescent="0.35">
      <c r="A724" t="s">
        <v>781</v>
      </c>
      <c r="B724" t="s">
        <v>72</v>
      </c>
      <c r="C724" t="s">
        <v>15</v>
      </c>
      <c r="D724" t="s">
        <v>34</v>
      </c>
      <c r="E724">
        <v>23852</v>
      </c>
      <c r="F724">
        <v>23032</v>
      </c>
      <c r="G724" s="16" t="s">
        <v>17</v>
      </c>
      <c r="H724" s="3">
        <v>45320</v>
      </c>
      <c r="I724" s="3">
        <v>45322</v>
      </c>
      <c r="J724" t="s">
        <v>50</v>
      </c>
      <c r="K724" t="s">
        <v>19</v>
      </c>
      <c r="L724">
        <v>2</v>
      </c>
      <c r="M724" t="s">
        <v>39</v>
      </c>
    </row>
    <row r="725" spans="1:13" x14ac:dyDescent="0.35">
      <c r="A725" t="s">
        <v>782</v>
      </c>
      <c r="B725" t="s">
        <v>41</v>
      </c>
      <c r="C725" t="s">
        <v>15</v>
      </c>
      <c r="D725" t="s">
        <v>55</v>
      </c>
      <c r="E725">
        <v>21002</v>
      </c>
      <c r="F725">
        <v>20641</v>
      </c>
      <c r="G725" s="16" t="s">
        <v>17</v>
      </c>
      <c r="H725" s="3">
        <v>45575</v>
      </c>
      <c r="I725" s="3">
        <v>45576</v>
      </c>
      <c r="J725" t="s">
        <v>50</v>
      </c>
      <c r="K725" t="s">
        <v>56</v>
      </c>
      <c r="L725">
        <v>1</v>
      </c>
      <c r="M725" t="s">
        <v>76</v>
      </c>
    </row>
    <row r="726" spans="1:13" x14ac:dyDescent="0.35">
      <c r="A726" t="s">
        <v>783</v>
      </c>
      <c r="B726" t="s">
        <v>26</v>
      </c>
      <c r="C726" t="s">
        <v>38</v>
      </c>
      <c r="D726" t="s">
        <v>58</v>
      </c>
      <c r="E726">
        <v>8997</v>
      </c>
      <c r="F726">
        <v>8001</v>
      </c>
      <c r="G726" s="16" t="s">
        <v>17</v>
      </c>
      <c r="H726" s="3">
        <v>45335</v>
      </c>
      <c r="I726" s="3">
        <v>45343</v>
      </c>
      <c r="J726" t="s">
        <v>18</v>
      </c>
      <c r="K726" t="s">
        <v>47</v>
      </c>
      <c r="L726">
        <v>8</v>
      </c>
      <c r="M726" t="s">
        <v>20</v>
      </c>
    </row>
    <row r="727" spans="1:13" x14ac:dyDescent="0.35">
      <c r="A727" t="s">
        <v>784</v>
      </c>
      <c r="B727" t="s">
        <v>60</v>
      </c>
      <c r="C727" t="s">
        <v>46</v>
      </c>
      <c r="D727" t="s">
        <v>23</v>
      </c>
      <c r="E727">
        <v>49168</v>
      </c>
      <c r="F727">
        <v>0</v>
      </c>
      <c r="G727" s="16" t="s">
        <v>29</v>
      </c>
      <c r="H727" s="3">
        <v>45414</v>
      </c>
      <c r="I727" s="3"/>
      <c r="J727" t="s">
        <v>50</v>
      </c>
      <c r="K727" t="s">
        <v>35</v>
      </c>
      <c r="M727" t="s">
        <v>31</v>
      </c>
    </row>
    <row r="728" spans="1:13" x14ac:dyDescent="0.35">
      <c r="A728" t="s">
        <v>785</v>
      </c>
      <c r="B728" t="s">
        <v>14</v>
      </c>
      <c r="C728" t="s">
        <v>38</v>
      </c>
      <c r="D728" t="s">
        <v>55</v>
      </c>
      <c r="E728">
        <v>36992</v>
      </c>
      <c r="F728">
        <v>35013</v>
      </c>
      <c r="G728" s="16" t="s">
        <v>17</v>
      </c>
      <c r="H728" s="3">
        <v>45300</v>
      </c>
      <c r="I728" s="3">
        <v>45301</v>
      </c>
      <c r="J728" t="s">
        <v>50</v>
      </c>
      <c r="K728" t="s">
        <v>47</v>
      </c>
      <c r="L728">
        <v>1</v>
      </c>
      <c r="M728" t="s">
        <v>39</v>
      </c>
    </row>
    <row r="729" spans="1:13" x14ac:dyDescent="0.35">
      <c r="A729" t="s">
        <v>786</v>
      </c>
      <c r="B729" t="s">
        <v>41</v>
      </c>
      <c r="C729" t="s">
        <v>15</v>
      </c>
      <c r="D729" t="s">
        <v>58</v>
      </c>
      <c r="E729">
        <v>9745</v>
      </c>
      <c r="F729">
        <v>8093</v>
      </c>
      <c r="G729" s="16" t="s">
        <v>17</v>
      </c>
      <c r="H729" s="3">
        <v>45626</v>
      </c>
      <c r="I729" s="3">
        <v>45635</v>
      </c>
      <c r="J729" t="s">
        <v>50</v>
      </c>
      <c r="K729" t="s">
        <v>56</v>
      </c>
      <c r="L729">
        <v>9</v>
      </c>
      <c r="M729" t="s">
        <v>48</v>
      </c>
    </row>
    <row r="730" spans="1:13" x14ac:dyDescent="0.35">
      <c r="A730" t="s">
        <v>787</v>
      </c>
      <c r="B730" t="s">
        <v>79</v>
      </c>
      <c r="C730" t="s">
        <v>73</v>
      </c>
      <c r="D730" t="s">
        <v>28</v>
      </c>
      <c r="E730">
        <v>6720</v>
      </c>
      <c r="F730">
        <v>5214</v>
      </c>
      <c r="G730" s="16" t="s">
        <v>17</v>
      </c>
      <c r="H730" s="3">
        <v>45364</v>
      </c>
      <c r="I730" s="3">
        <v>45372</v>
      </c>
      <c r="J730" t="s">
        <v>18</v>
      </c>
      <c r="K730" t="s">
        <v>35</v>
      </c>
      <c r="L730">
        <v>8</v>
      </c>
      <c r="M730" t="s">
        <v>67</v>
      </c>
    </row>
    <row r="731" spans="1:13" x14ac:dyDescent="0.35">
      <c r="A731" t="s">
        <v>788</v>
      </c>
      <c r="B731" t="s">
        <v>53</v>
      </c>
      <c r="C731" t="s">
        <v>15</v>
      </c>
      <c r="D731" t="s">
        <v>28</v>
      </c>
      <c r="E731">
        <v>47960</v>
      </c>
      <c r="F731">
        <v>47931</v>
      </c>
      <c r="G731" s="16" t="s">
        <v>17</v>
      </c>
      <c r="H731" s="3">
        <v>45380</v>
      </c>
      <c r="I731" s="3">
        <v>45381</v>
      </c>
      <c r="J731" t="s">
        <v>50</v>
      </c>
      <c r="K731" t="s">
        <v>30</v>
      </c>
      <c r="L731">
        <v>1</v>
      </c>
      <c r="M731" t="s">
        <v>67</v>
      </c>
    </row>
    <row r="732" spans="1:13" x14ac:dyDescent="0.35">
      <c r="A732" t="s">
        <v>789</v>
      </c>
      <c r="B732" t="s">
        <v>14</v>
      </c>
      <c r="C732" t="s">
        <v>64</v>
      </c>
      <c r="D732" t="s">
        <v>61</v>
      </c>
      <c r="E732">
        <v>40734</v>
      </c>
      <c r="F732">
        <v>39060</v>
      </c>
      <c r="G732" s="16" t="s">
        <v>17</v>
      </c>
      <c r="H732" s="3">
        <v>45346</v>
      </c>
      <c r="I732" s="3">
        <v>45348</v>
      </c>
      <c r="J732" t="s">
        <v>50</v>
      </c>
      <c r="K732" t="s">
        <v>19</v>
      </c>
      <c r="L732">
        <v>2</v>
      </c>
      <c r="M732" t="s">
        <v>20</v>
      </c>
    </row>
    <row r="733" spans="1:13" x14ac:dyDescent="0.35">
      <c r="A733" t="s">
        <v>790</v>
      </c>
      <c r="B733" t="s">
        <v>53</v>
      </c>
      <c r="C733" t="s">
        <v>46</v>
      </c>
      <c r="D733" t="s">
        <v>70</v>
      </c>
      <c r="E733">
        <v>15280</v>
      </c>
      <c r="F733">
        <v>14590</v>
      </c>
      <c r="G733" s="16" t="s">
        <v>17</v>
      </c>
      <c r="H733" s="3">
        <v>45639</v>
      </c>
      <c r="I733" s="3">
        <v>45646</v>
      </c>
      <c r="J733" t="s">
        <v>50</v>
      </c>
      <c r="K733" t="s">
        <v>47</v>
      </c>
      <c r="L733">
        <v>7</v>
      </c>
      <c r="M733" t="s">
        <v>62</v>
      </c>
    </row>
    <row r="734" spans="1:13" x14ac:dyDescent="0.35">
      <c r="A734" t="s">
        <v>791</v>
      </c>
      <c r="B734" t="s">
        <v>53</v>
      </c>
      <c r="C734" t="s">
        <v>73</v>
      </c>
      <c r="D734" t="s">
        <v>34</v>
      </c>
      <c r="E734">
        <v>15974</v>
      </c>
      <c r="F734">
        <v>14760</v>
      </c>
      <c r="G734" s="16" t="s">
        <v>17</v>
      </c>
      <c r="H734" s="3">
        <v>45380</v>
      </c>
      <c r="I734" s="3">
        <v>45386</v>
      </c>
      <c r="J734" t="s">
        <v>18</v>
      </c>
      <c r="K734" t="s">
        <v>47</v>
      </c>
      <c r="L734">
        <v>6</v>
      </c>
      <c r="M734" t="s">
        <v>67</v>
      </c>
    </row>
    <row r="735" spans="1:13" x14ac:dyDescent="0.35">
      <c r="A735" t="s">
        <v>792</v>
      </c>
      <c r="B735" t="s">
        <v>96</v>
      </c>
      <c r="C735" t="s">
        <v>73</v>
      </c>
      <c r="D735" t="s">
        <v>58</v>
      </c>
      <c r="E735">
        <v>13013</v>
      </c>
      <c r="F735">
        <v>11880</v>
      </c>
      <c r="G735" s="16" t="s">
        <v>17</v>
      </c>
      <c r="H735" s="3">
        <v>45376</v>
      </c>
      <c r="I735" s="3">
        <v>45384</v>
      </c>
      <c r="J735" t="s">
        <v>18</v>
      </c>
      <c r="K735" t="s">
        <v>19</v>
      </c>
      <c r="L735">
        <v>8</v>
      </c>
      <c r="M735" t="s">
        <v>67</v>
      </c>
    </row>
    <row r="736" spans="1:13" x14ac:dyDescent="0.35">
      <c r="A736" t="s">
        <v>793</v>
      </c>
      <c r="B736" t="s">
        <v>60</v>
      </c>
      <c r="C736" t="s">
        <v>73</v>
      </c>
      <c r="D736" t="s">
        <v>70</v>
      </c>
      <c r="E736">
        <v>43431</v>
      </c>
      <c r="F736">
        <v>0</v>
      </c>
      <c r="G736" s="16" t="s">
        <v>29</v>
      </c>
      <c r="H736" s="3">
        <v>45484</v>
      </c>
      <c r="I736" s="3"/>
      <c r="J736" t="s">
        <v>18</v>
      </c>
      <c r="K736" t="s">
        <v>47</v>
      </c>
      <c r="M736" t="s">
        <v>85</v>
      </c>
    </row>
    <row r="737" spans="1:13" x14ac:dyDescent="0.35">
      <c r="A737" t="s">
        <v>794</v>
      </c>
      <c r="B737" t="s">
        <v>72</v>
      </c>
      <c r="C737" t="s">
        <v>15</v>
      </c>
      <c r="D737" t="s">
        <v>23</v>
      </c>
      <c r="E737">
        <v>2473</v>
      </c>
      <c r="F737">
        <v>577</v>
      </c>
      <c r="G737" s="16" t="s">
        <v>17</v>
      </c>
      <c r="H737" s="3">
        <v>45337</v>
      </c>
      <c r="I737" s="3">
        <v>45347</v>
      </c>
      <c r="J737" t="s">
        <v>50</v>
      </c>
      <c r="K737" t="s">
        <v>35</v>
      </c>
      <c r="L737">
        <v>10</v>
      </c>
      <c r="M737" t="s">
        <v>20</v>
      </c>
    </row>
    <row r="738" spans="1:13" x14ac:dyDescent="0.35">
      <c r="A738" t="s">
        <v>795</v>
      </c>
      <c r="B738" t="s">
        <v>72</v>
      </c>
      <c r="C738" t="s">
        <v>73</v>
      </c>
      <c r="D738" t="s">
        <v>28</v>
      </c>
      <c r="E738">
        <v>11377</v>
      </c>
      <c r="F738">
        <v>10306</v>
      </c>
      <c r="G738" s="16" t="s">
        <v>17</v>
      </c>
      <c r="H738" s="3">
        <v>45522</v>
      </c>
      <c r="I738" s="3">
        <v>45529</v>
      </c>
      <c r="J738" t="s">
        <v>18</v>
      </c>
      <c r="K738" t="s">
        <v>47</v>
      </c>
      <c r="L738">
        <v>7</v>
      </c>
      <c r="M738" t="s">
        <v>44</v>
      </c>
    </row>
    <row r="739" spans="1:13" x14ac:dyDescent="0.35">
      <c r="A739" t="s">
        <v>796</v>
      </c>
      <c r="B739" t="s">
        <v>53</v>
      </c>
      <c r="C739" t="s">
        <v>15</v>
      </c>
      <c r="D739" t="s">
        <v>61</v>
      </c>
      <c r="E739">
        <v>49002</v>
      </c>
      <c r="F739">
        <v>47749</v>
      </c>
      <c r="G739" s="16" t="s">
        <v>17</v>
      </c>
      <c r="H739" s="3">
        <v>45337</v>
      </c>
      <c r="I739" s="3">
        <v>45342</v>
      </c>
      <c r="J739" t="s">
        <v>50</v>
      </c>
      <c r="K739" t="s">
        <v>35</v>
      </c>
      <c r="L739">
        <v>5</v>
      </c>
      <c r="M739" t="s">
        <v>20</v>
      </c>
    </row>
    <row r="740" spans="1:13" x14ac:dyDescent="0.35">
      <c r="A740" t="s">
        <v>797</v>
      </c>
      <c r="B740" t="s">
        <v>60</v>
      </c>
      <c r="C740" t="s">
        <v>46</v>
      </c>
      <c r="D740" t="s">
        <v>28</v>
      </c>
      <c r="E740">
        <v>9700</v>
      </c>
      <c r="F740">
        <v>0</v>
      </c>
      <c r="G740" s="16" t="s">
        <v>29</v>
      </c>
      <c r="H740" s="3">
        <v>45340</v>
      </c>
      <c r="I740" s="3"/>
      <c r="J740" t="s">
        <v>50</v>
      </c>
      <c r="K740" t="s">
        <v>30</v>
      </c>
      <c r="M740" t="s">
        <v>20</v>
      </c>
    </row>
    <row r="741" spans="1:13" x14ac:dyDescent="0.35">
      <c r="A741" t="s">
        <v>798</v>
      </c>
      <c r="B741" t="s">
        <v>79</v>
      </c>
      <c r="C741" t="s">
        <v>46</v>
      </c>
      <c r="D741" t="s">
        <v>55</v>
      </c>
      <c r="E741">
        <v>43055</v>
      </c>
      <c r="F741">
        <v>42489</v>
      </c>
      <c r="G741" s="16" t="s">
        <v>17</v>
      </c>
      <c r="H741" s="3">
        <v>45319</v>
      </c>
      <c r="I741" s="3">
        <v>45323</v>
      </c>
      <c r="J741" t="s">
        <v>18</v>
      </c>
      <c r="K741" t="s">
        <v>30</v>
      </c>
      <c r="L741">
        <v>4</v>
      </c>
      <c r="M741" t="s">
        <v>39</v>
      </c>
    </row>
    <row r="742" spans="1:13" x14ac:dyDescent="0.35">
      <c r="A742" t="s">
        <v>799</v>
      </c>
      <c r="B742" t="s">
        <v>33</v>
      </c>
      <c r="C742" t="s">
        <v>64</v>
      </c>
      <c r="D742" t="s">
        <v>55</v>
      </c>
      <c r="E742">
        <v>13555</v>
      </c>
      <c r="F742">
        <v>12183</v>
      </c>
      <c r="G742" s="16" t="s">
        <v>17</v>
      </c>
      <c r="H742" s="3">
        <v>45314</v>
      </c>
      <c r="I742" s="3">
        <v>45315</v>
      </c>
      <c r="J742" t="s">
        <v>50</v>
      </c>
      <c r="K742" t="s">
        <v>43</v>
      </c>
      <c r="L742">
        <v>1</v>
      </c>
      <c r="M742" t="s">
        <v>39</v>
      </c>
    </row>
    <row r="743" spans="1:13" x14ac:dyDescent="0.35">
      <c r="A743" t="s">
        <v>800</v>
      </c>
      <c r="B743" t="s">
        <v>26</v>
      </c>
      <c r="C743" t="s">
        <v>27</v>
      </c>
      <c r="D743" t="s">
        <v>16</v>
      </c>
      <c r="E743">
        <v>23908</v>
      </c>
      <c r="F743">
        <v>0</v>
      </c>
      <c r="G743" s="16" t="s">
        <v>29</v>
      </c>
      <c r="H743" s="3">
        <v>45524</v>
      </c>
      <c r="I743" s="3"/>
      <c r="J743" t="s">
        <v>18</v>
      </c>
      <c r="K743" t="s">
        <v>47</v>
      </c>
      <c r="M743" t="s">
        <v>44</v>
      </c>
    </row>
    <row r="744" spans="1:13" x14ac:dyDescent="0.35">
      <c r="A744" t="s">
        <v>801</v>
      </c>
      <c r="B744" t="s">
        <v>60</v>
      </c>
      <c r="C744" t="s">
        <v>73</v>
      </c>
      <c r="D744" t="s">
        <v>61</v>
      </c>
      <c r="E744">
        <v>3904</v>
      </c>
      <c r="F744">
        <v>2850</v>
      </c>
      <c r="G744" s="16" t="s">
        <v>17</v>
      </c>
      <c r="H744" s="3">
        <v>45351</v>
      </c>
      <c r="I744" s="3">
        <v>45353</v>
      </c>
      <c r="J744" t="s">
        <v>18</v>
      </c>
      <c r="K744" t="s">
        <v>56</v>
      </c>
      <c r="L744">
        <v>2</v>
      </c>
      <c r="M744" t="s">
        <v>20</v>
      </c>
    </row>
    <row r="745" spans="1:13" x14ac:dyDescent="0.35">
      <c r="A745" t="s">
        <v>802</v>
      </c>
      <c r="B745" t="s">
        <v>72</v>
      </c>
      <c r="C745" t="s">
        <v>38</v>
      </c>
      <c r="D745" t="s">
        <v>58</v>
      </c>
      <c r="E745">
        <v>15025</v>
      </c>
      <c r="F745">
        <v>14554</v>
      </c>
      <c r="G745" s="16" t="s">
        <v>17</v>
      </c>
      <c r="H745" s="3">
        <v>45348</v>
      </c>
      <c r="I745" s="3">
        <v>45354</v>
      </c>
      <c r="J745" t="s">
        <v>18</v>
      </c>
      <c r="K745" t="s">
        <v>47</v>
      </c>
      <c r="L745">
        <v>6</v>
      </c>
      <c r="M745" t="s">
        <v>20</v>
      </c>
    </row>
    <row r="746" spans="1:13" x14ac:dyDescent="0.35">
      <c r="A746" t="s">
        <v>803</v>
      </c>
      <c r="B746" t="s">
        <v>26</v>
      </c>
      <c r="C746" t="s">
        <v>27</v>
      </c>
      <c r="D746" t="s">
        <v>28</v>
      </c>
      <c r="E746">
        <v>26610</v>
      </c>
      <c r="F746">
        <v>26460</v>
      </c>
      <c r="G746" s="16" t="s">
        <v>17</v>
      </c>
      <c r="H746" s="3">
        <v>45533</v>
      </c>
      <c r="I746" s="3">
        <v>45543</v>
      </c>
      <c r="J746" t="s">
        <v>50</v>
      </c>
      <c r="K746" t="s">
        <v>47</v>
      </c>
      <c r="L746">
        <v>10</v>
      </c>
      <c r="M746" t="s">
        <v>44</v>
      </c>
    </row>
    <row r="747" spans="1:13" x14ac:dyDescent="0.35">
      <c r="A747" t="s">
        <v>804</v>
      </c>
      <c r="B747" t="s">
        <v>22</v>
      </c>
      <c r="C747" t="s">
        <v>73</v>
      </c>
      <c r="D747" t="s">
        <v>28</v>
      </c>
      <c r="E747">
        <v>41939</v>
      </c>
      <c r="F747">
        <v>41575</v>
      </c>
      <c r="G747" s="16" t="s">
        <v>17</v>
      </c>
      <c r="H747" s="3">
        <v>45490</v>
      </c>
      <c r="I747" s="3">
        <v>45496</v>
      </c>
      <c r="J747" t="s">
        <v>18</v>
      </c>
      <c r="K747" t="s">
        <v>35</v>
      </c>
      <c r="L747">
        <v>6</v>
      </c>
      <c r="M747" t="s">
        <v>85</v>
      </c>
    </row>
    <row r="748" spans="1:13" x14ac:dyDescent="0.35">
      <c r="A748" t="s">
        <v>805</v>
      </c>
      <c r="B748" t="s">
        <v>26</v>
      </c>
      <c r="C748" t="s">
        <v>38</v>
      </c>
      <c r="D748" t="s">
        <v>16</v>
      </c>
      <c r="E748">
        <v>15252</v>
      </c>
      <c r="F748">
        <v>14992</v>
      </c>
      <c r="G748" s="16" t="s">
        <v>17</v>
      </c>
      <c r="H748" s="3">
        <v>45308</v>
      </c>
      <c r="I748" s="3">
        <v>45318</v>
      </c>
      <c r="J748" t="s">
        <v>18</v>
      </c>
      <c r="K748" t="s">
        <v>43</v>
      </c>
      <c r="L748">
        <v>10</v>
      </c>
      <c r="M748" t="s">
        <v>39</v>
      </c>
    </row>
    <row r="749" spans="1:13" x14ac:dyDescent="0.35">
      <c r="A749" t="s">
        <v>806</v>
      </c>
      <c r="B749" t="s">
        <v>33</v>
      </c>
      <c r="C749" t="s">
        <v>15</v>
      </c>
      <c r="D749" t="s">
        <v>55</v>
      </c>
      <c r="E749">
        <v>32053</v>
      </c>
      <c r="F749">
        <v>31703</v>
      </c>
      <c r="G749" s="16" t="s">
        <v>17</v>
      </c>
      <c r="H749" s="3">
        <v>45467</v>
      </c>
      <c r="I749" s="3">
        <v>45471</v>
      </c>
      <c r="J749" t="s">
        <v>50</v>
      </c>
      <c r="K749" t="s">
        <v>19</v>
      </c>
      <c r="L749">
        <v>4</v>
      </c>
      <c r="M749" t="s">
        <v>36</v>
      </c>
    </row>
    <row r="750" spans="1:13" x14ac:dyDescent="0.35">
      <c r="A750" t="s">
        <v>807</v>
      </c>
      <c r="B750" t="s">
        <v>33</v>
      </c>
      <c r="C750" t="s">
        <v>73</v>
      </c>
      <c r="D750" t="s">
        <v>28</v>
      </c>
      <c r="E750">
        <v>7667</v>
      </c>
      <c r="F750">
        <v>5912</v>
      </c>
      <c r="G750" s="16" t="s">
        <v>17</v>
      </c>
      <c r="H750" s="3">
        <v>45559</v>
      </c>
      <c r="I750" s="3">
        <v>45567</v>
      </c>
      <c r="J750" t="s">
        <v>18</v>
      </c>
      <c r="K750" t="s">
        <v>19</v>
      </c>
      <c r="L750">
        <v>8</v>
      </c>
      <c r="M750" t="s">
        <v>24</v>
      </c>
    </row>
    <row r="751" spans="1:13" x14ac:dyDescent="0.35">
      <c r="A751" t="s">
        <v>808</v>
      </c>
      <c r="B751" t="s">
        <v>72</v>
      </c>
      <c r="C751" t="s">
        <v>64</v>
      </c>
      <c r="D751" t="s">
        <v>16</v>
      </c>
      <c r="E751">
        <v>2950</v>
      </c>
      <c r="F751">
        <v>1443</v>
      </c>
      <c r="G751" s="16" t="s">
        <v>17</v>
      </c>
      <c r="H751" s="3">
        <v>45418</v>
      </c>
      <c r="I751" s="3">
        <v>45422</v>
      </c>
      <c r="J751" t="s">
        <v>50</v>
      </c>
      <c r="K751" t="s">
        <v>35</v>
      </c>
      <c r="L751">
        <v>4</v>
      </c>
      <c r="M751" t="s">
        <v>31</v>
      </c>
    </row>
    <row r="752" spans="1:13" x14ac:dyDescent="0.35">
      <c r="A752" t="s">
        <v>809</v>
      </c>
      <c r="B752" t="s">
        <v>53</v>
      </c>
      <c r="C752" t="s">
        <v>46</v>
      </c>
      <c r="D752" t="s">
        <v>61</v>
      </c>
      <c r="E752">
        <v>39598</v>
      </c>
      <c r="F752">
        <v>38743</v>
      </c>
      <c r="G752" s="16" t="s">
        <v>17</v>
      </c>
      <c r="H752" s="3">
        <v>45314</v>
      </c>
      <c r="I752" s="3">
        <v>45315</v>
      </c>
      <c r="J752" t="s">
        <v>50</v>
      </c>
      <c r="K752" t="s">
        <v>56</v>
      </c>
      <c r="L752">
        <v>1</v>
      </c>
      <c r="M752" t="s">
        <v>39</v>
      </c>
    </row>
    <row r="753" spans="1:13" x14ac:dyDescent="0.35">
      <c r="A753" t="s">
        <v>810</v>
      </c>
      <c r="B753" t="s">
        <v>79</v>
      </c>
      <c r="C753" t="s">
        <v>15</v>
      </c>
      <c r="D753" t="s">
        <v>58</v>
      </c>
      <c r="E753">
        <v>36807</v>
      </c>
      <c r="F753">
        <v>35826</v>
      </c>
      <c r="G753" s="16" t="s">
        <v>17</v>
      </c>
      <c r="H753" s="3">
        <v>45648</v>
      </c>
      <c r="I753" s="3">
        <v>45650</v>
      </c>
      <c r="J753" t="s">
        <v>50</v>
      </c>
      <c r="K753" t="s">
        <v>35</v>
      </c>
      <c r="L753">
        <v>2</v>
      </c>
      <c r="M753" t="s">
        <v>62</v>
      </c>
    </row>
    <row r="754" spans="1:13" x14ac:dyDescent="0.35">
      <c r="A754" t="s">
        <v>811</v>
      </c>
      <c r="B754" t="s">
        <v>26</v>
      </c>
      <c r="C754" t="s">
        <v>15</v>
      </c>
      <c r="D754" t="s">
        <v>23</v>
      </c>
      <c r="E754">
        <v>47426</v>
      </c>
      <c r="F754">
        <v>45481</v>
      </c>
      <c r="G754" s="16" t="s">
        <v>17</v>
      </c>
      <c r="H754" s="3">
        <v>45403</v>
      </c>
      <c r="I754" s="3">
        <v>45406</v>
      </c>
      <c r="J754" t="s">
        <v>50</v>
      </c>
      <c r="K754" t="s">
        <v>43</v>
      </c>
      <c r="L754">
        <v>3</v>
      </c>
      <c r="M754" t="s">
        <v>51</v>
      </c>
    </row>
    <row r="755" spans="1:13" x14ac:dyDescent="0.35">
      <c r="A755" t="s">
        <v>812</v>
      </c>
      <c r="B755" t="s">
        <v>26</v>
      </c>
      <c r="C755" t="s">
        <v>15</v>
      </c>
      <c r="D755" t="s">
        <v>23</v>
      </c>
      <c r="E755">
        <v>33443</v>
      </c>
      <c r="F755">
        <v>33112</v>
      </c>
      <c r="G755" s="16" t="s">
        <v>17</v>
      </c>
      <c r="H755" s="3">
        <v>45652</v>
      </c>
      <c r="I755" s="3">
        <v>45660</v>
      </c>
      <c r="J755" t="s">
        <v>18</v>
      </c>
      <c r="K755" t="s">
        <v>35</v>
      </c>
      <c r="L755">
        <v>8</v>
      </c>
      <c r="M755" t="s">
        <v>62</v>
      </c>
    </row>
    <row r="756" spans="1:13" x14ac:dyDescent="0.35">
      <c r="A756" t="s">
        <v>813</v>
      </c>
      <c r="B756" t="s">
        <v>72</v>
      </c>
      <c r="C756" t="s">
        <v>73</v>
      </c>
      <c r="D756" t="s">
        <v>58</v>
      </c>
      <c r="E756">
        <v>14120</v>
      </c>
      <c r="F756">
        <v>12837</v>
      </c>
      <c r="G756" s="16" t="s">
        <v>17</v>
      </c>
      <c r="H756" s="3">
        <v>45529</v>
      </c>
      <c r="I756" s="3">
        <v>45530</v>
      </c>
      <c r="J756" t="s">
        <v>18</v>
      </c>
      <c r="K756" t="s">
        <v>35</v>
      </c>
      <c r="L756">
        <v>1</v>
      </c>
      <c r="M756" t="s">
        <v>44</v>
      </c>
    </row>
    <row r="757" spans="1:13" x14ac:dyDescent="0.35">
      <c r="A757" t="s">
        <v>814</v>
      </c>
      <c r="B757" t="s">
        <v>41</v>
      </c>
      <c r="C757" t="s">
        <v>15</v>
      </c>
      <c r="D757" t="s">
        <v>16</v>
      </c>
      <c r="E757">
        <v>29911</v>
      </c>
      <c r="F757">
        <v>28482</v>
      </c>
      <c r="G757" s="16" t="s">
        <v>17</v>
      </c>
      <c r="H757" s="3">
        <v>45605</v>
      </c>
      <c r="I757" s="3">
        <v>45614</v>
      </c>
      <c r="J757" t="s">
        <v>18</v>
      </c>
      <c r="K757" t="s">
        <v>30</v>
      </c>
      <c r="L757">
        <v>9</v>
      </c>
      <c r="M757" t="s">
        <v>48</v>
      </c>
    </row>
    <row r="758" spans="1:13" x14ac:dyDescent="0.35">
      <c r="A758" t="s">
        <v>815</v>
      </c>
      <c r="B758" t="s">
        <v>14</v>
      </c>
      <c r="C758" t="s">
        <v>38</v>
      </c>
      <c r="D758" t="s">
        <v>23</v>
      </c>
      <c r="E758">
        <v>35733</v>
      </c>
      <c r="F758">
        <v>33915</v>
      </c>
      <c r="G758" s="16" t="s">
        <v>17</v>
      </c>
      <c r="H758" s="3">
        <v>45318</v>
      </c>
      <c r="I758" s="3">
        <v>45320</v>
      </c>
      <c r="J758" t="s">
        <v>50</v>
      </c>
      <c r="K758" t="s">
        <v>43</v>
      </c>
      <c r="L758">
        <v>2</v>
      </c>
      <c r="M758" t="s">
        <v>39</v>
      </c>
    </row>
    <row r="759" spans="1:13" x14ac:dyDescent="0.35">
      <c r="A759" t="s">
        <v>816</v>
      </c>
      <c r="B759" t="s">
        <v>72</v>
      </c>
      <c r="C759" t="s">
        <v>15</v>
      </c>
      <c r="D759" t="s">
        <v>34</v>
      </c>
      <c r="E759">
        <v>26014</v>
      </c>
      <c r="F759">
        <v>24687</v>
      </c>
      <c r="G759" s="16" t="s">
        <v>17</v>
      </c>
      <c r="H759" s="3">
        <v>45578</v>
      </c>
      <c r="I759" s="3">
        <v>45580</v>
      </c>
      <c r="J759" t="s">
        <v>18</v>
      </c>
      <c r="K759" t="s">
        <v>47</v>
      </c>
      <c r="L759">
        <v>2</v>
      </c>
      <c r="M759" t="s">
        <v>76</v>
      </c>
    </row>
    <row r="760" spans="1:13" x14ac:dyDescent="0.35">
      <c r="A760" t="s">
        <v>817</v>
      </c>
      <c r="B760" t="s">
        <v>41</v>
      </c>
      <c r="C760" t="s">
        <v>46</v>
      </c>
      <c r="D760" t="s">
        <v>70</v>
      </c>
      <c r="E760">
        <v>44535</v>
      </c>
      <c r="F760">
        <v>43025</v>
      </c>
      <c r="G760" s="16" t="s">
        <v>17</v>
      </c>
      <c r="H760" s="3">
        <v>45589</v>
      </c>
      <c r="I760" s="3">
        <v>45593</v>
      </c>
      <c r="J760" t="s">
        <v>18</v>
      </c>
      <c r="K760" t="s">
        <v>43</v>
      </c>
      <c r="L760">
        <v>4</v>
      </c>
      <c r="M760" t="s">
        <v>76</v>
      </c>
    </row>
    <row r="761" spans="1:13" x14ac:dyDescent="0.35">
      <c r="A761" t="s">
        <v>818</v>
      </c>
      <c r="B761" t="s">
        <v>41</v>
      </c>
      <c r="C761" t="s">
        <v>38</v>
      </c>
      <c r="D761" t="s">
        <v>58</v>
      </c>
      <c r="E761">
        <v>20162</v>
      </c>
      <c r="F761">
        <v>20033</v>
      </c>
      <c r="G761" s="16" t="s">
        <v>17</v>
      </c>
      <c r="H761" s="3">
        <v>45482</v>
      </c>
      <c r="I761" s="3">
        <v>45488</v>
      </c>
      <c r="J761" t="s">
        <v>50</v>
      </c>
      <c r="K761" t="s">
        <v>35</v>
      </c>
      <c r="L761">
        <v>6</v>
      </c>
      <c r="M761" t="s">
        <v>85</v>
      </c>
    </row>
    <row r="762" spans="1:13" x14ac:dyDescent="0.35">
      <c r="A762" t="s">
        <v>819</v>
      </c>
      <c r="B762" t="s">
        <v>79</v>
      </c>
      <c r="C762" t="s">
        <v>15</v>
      </c>
      <c r="D762" t="s">
        <v>55</v>
      </c>
      <c r="E762">
        <v>48519</v>
      </c>
      <c r="F762">
        <v>0</v>
      </c>
      <c r="G762" s="16" t="s">
        <v>29</v>
      </c>
      <c r="H762" s="3">
        <v>45639</v>
      </c>
      <c r="I762" s="3"/>
      <c r="J762" t="s">
        <v>50</v>
      </c>
      <c r="K762" t="s">
        <v>35</v>
      </c>
      <c r="M762" t="s">
        <v>62</v>
      </c>
    </row>
    <row r="763" spans="1:13" x14ac:dyDescent="0.35">
      <c r="A763" t="s">
        <v>820</v>
      </c>
      <c r="B763" t="s">
        <v>53</v>
      </c>
      <c r="C763" t="s">
        <v>38</v>
      </c>
      <c r="D763" t="s">
        <v>70</v>
      </c>
      <c r="E763">
        <v>14343</v>
      </c>
      <c r="F763">
        <v>14165</v>
      </c>
      <c r="G763" s="16" t="s">
        <v>17</v>
      </c>
      <c r="H763" s="3">
        <v>45333</v>
      </c>
      <c r="I763" s="3">
        <v>45340</v>
      </c>
      <c r="J763" t="s">
        <v>18</v>
      </c>
      <c r="K763" t="s">
        <v>43</v>
      </c>
      <c r="L763">
        <v>7</v>
      </c>
      <c r="M763" t="s">
        <v>20</v>
      </c>
    </row>
    <row r="764" spans="1:13" x14ac:dyDescent="0.35">
      <c r="A764" t="s">
        <v>821</v>
      </c>
      <c r="B764" t="s">
        <v>14</v>
      </c>
      <c r="C764" t="s">
        <v>15</v>
      </c>
      <c r="D764" t="s">
        <v>61</v>
      </c>
      <c r="E764">
        <v>20084</v>
      </c>
      <c r="F764">
        <v>18657</v>
      </c>
      <c r="G764" s="16" t="s">
        <v>17</v>
      </c>
      <c r="H764" s="3">
        <v>45367</v>
      </c>
      <c r="I764" s="3">
        <v>45375</v>
      </c>
      <c r="J764" t="s">
        <v>18</v>
      </c>
      <c r="K764" t="s">
        <v>30</v>
      </c>
      <c r="L764">
        <v>8</v>
      </c>
      <c r="M764" t="s">
        <v>67</v>
      </c>
    </row>
    <row r="765" spans="1:13" x14ac:dyDescent="0.35">
      <c r="A765" t="s">
        <v>822</v>
      </c>
      <c r="B765" t="s">
        <v>26</v>
      </c>
      <c r="C765" t="s">
        <v>15</v>
      </c>
      <c r="D765" t="s">
        <v>16</v>
      </c>
      <c r="E765">
        <v>29298</v>
      </c>
      <c r="F765">
        <v>0</v>
      </c>
      <c r="G765" s="16" t="s">
        <v>29</v>
      </c>
      <c r="H765" s="3">
        <v>45359</v>
      </c>
      <c r="I765" s="3"/>
      <c r="J765" t="s">
        <v>50</v>
      </c>
      <c r="K765" t="s">
        <v>43</v>
      </c>
      <c r="M765" t="s">
        <v>67</v>
      </c>
    </row>
    <row r="766" spans="1:13" x14ac:dyDescent="0.35">
      <c r="A766" t="s">
        <v>823</v>
      </c>
      <c r="B766" t="s">
        <v>22</v>
      </c>
      <c r="C766" t="s">
        <v>64</v>
      </c>
      <c r="D766" t="s">
        <v>23</v>
      </c>
      <c r="E766">
        <v>21104</v>
      </c>
      <c r="F766">
        <v>20976</v>
      </c>
      <c r="G766" s="16" t="s">
        <v>17</v>
      </c>
      <c r="H766" s="3">
        <v>45303</v>
      </c>
      <c r="I766" s="3">
        <v>45307</v>
      </c>
      <c r="J766" t="s">
        <v>50</v>
      </c>
      <c r="K766" t="s">
        <v>35</v>
      </c>
      <c r="L766">
        <v>4</v>
      </c>
      <c r="M766" t="s">
        <v>39</v>
      </c>
    </row>
    <row r="767" spans="1:13" x14ac:dyDescent="0.35">
      <c r="A767" t="s">
        <v>824</v>
      </c>
      <c r="B767" t="s">
        <v>53</v>
      </c>
      <c r="C767" t="s">
        <v>38</v>
      </c>
      <c r="D767" t="s">
        <v>34</v>
      </c>
      <c r="E767">
        <v>33860</v>
      </c>
      <c r="F767">
        <v>0</v>
      </c>
      <c r="G767" s="16" t="s">
        <v>29</v>
      </c>
      <c r="H767" s="3">
        <v>45632</v>
      </c>
      <c r="I767" s="3"/>
      <c r="J767" t="s">
        <v>50</v>
      </c>
      <c r="K767" t="s">
        <v>35</v>
      </c>
      <c r="M767" t="s">
        <v>62</v>
      </c>
    </row>
    <row r="768" spans="1:13" x14ac:dyDescent="0.35">
      <c r="A768" t="s">
        <v>825</v>
      </c>
      <c r="B768" t="s">
        <v>96</v>
      </c>
      <c r="C768" t="s">
        <v>73</v>
      </c>
      <c r="D768" t="s">
        <v>16</v>
      </c>
      <c r="E768">
        <v>13254</v>
      </c>
      <c r="F768">
        <v>12790</v>
      </c>
      <c r="G768" s="16" t="s">
        <v>17</v>
      </c>
      <c r="H768" s="3">
        <v>45539</v>
      </c>
      <c r="I768" s="3">
        <v>45545</v>
      </c>
      <c r="J768" t="s">
        <v>50</v>
      </c>
      <c r="K768" t="s">
        <v>30</v>
      </c>
      <c r="L768">
        <v>6</v>
      </c>
      <c r="M768" t="s">
        <v>24</v>
      </c>
    </row>
    <row r="769" spans="1:13" x14ac:dyDescent="0.35">
      <c r="A769" t="s">
        <v>826</v>
      </c>
      <c r="B769" t="s">
        <v>60</v>
      </c>
      <c r="C769" t="s">
        <v>73</v>
      </c>
      <c r="D769" t="s">
        <v>34</v>
      </c>
      <c r="E769">
        <v>20637</v>
      </c>
      <c r="F769">
        <v>18679</v>
      </c>
      <c r="G769" s="16" t="s">
        <v>17</v>
      </c>
      <c r="H769" s="3">
        <v>45377</v>
      </c>
      <c r="I769" s="3">
        <v>45387</v>
      </c>
      <c r="J769" t="s">
        <v>18</v>
      </c>
      <c r="K769" t="s">
        <v>56</v>
      </c>
      <c r="L769">
        <v>10</v>
      </c>
      <c r="M769" t="s">
        <v>67</v>
      </c>
    </row>
    <row r="770" spans="1:13" x14ac:dyDescent="0.35">
      <c r="A770" t="s">
        <v>827</v>
      </c>
      <c r="B770" t="s">
        <v>79</v>
      </c>
      <c r="C770" t="s">
        <v>38</v>
      </c>
      <c r="D770" t="s">
        <v>61</v>
      </c>
      <c r="E770">
        <v>13492</v>
      </c>
      <c r="F770">
        <v>13162</v>
      </c>
      <c r="G770" s="16" t="s">
        <v>17</v>
      </c>
      <c r="H770" s="3">
        <v>45413</v>
      </c>
      <c r="I770" s="3">
        <v>45415</v>
      </c>
      <c r="J770" t="s">
        <v>18</v>
      </c>
      <c r="K770" t="s">
        <v>43</v>
      </c>
      <c r="L770">
        <v>2</v>
      </c>
      <c r="M770" t="s">
        <v>31</v>
      </c>
    </row>
    <row r="771" spans="1:13" x14ac:dyDescent="0.35">
      <c r="A771" t="s">
        <v>828</v>
      </c>
      <c r="B771" t="s">
        <v>53</v>
      </c>
      <c r="C771" t="s">
        <v>73</v>
      </c>
      <c r="D771" t="s">
        <v>55</v>
      </c>
      <c r="E771">
        <v>19066</v>
      </c>
      <c r="F771">
        <v>18689</v>
      </c>
      <c r="G771" s="16" t="s">
        <v>17</v>
      </c>
      <c r="H771" s="3">
        <v>45397</v>
      </c>
      <c r="I771" s="3">
        <v>45406</v>
      </c>
      <c r="J771" t="s">
        <v>18</v>
      </c>
      <c r="K771" t="s">
        <v>56</v>
      </c>
      <c r="L771">
        <v>9</v>
      </c>
      <c r="M771" t="s">
        <v>51</v>
      </c>
    </row>
    <row r="772" spans="1:13" x14ac:dyDescent="0.35">
      <c r="A772" t="s">
        <v>829</v>
      </c>
      <c r="B772" t="s">
        <v>41</v>
      </c>
      <c r="C772" t="s">
        <v>38</v>
      </c>
      <c r="D772" t="s">
        <v>61</v>
      </c>
      <c r="E772">
        <v>26439</v>
      </c>
      <c r="F772">
        <v>25334</v>
      </c>
      <c r="G772" s="16" t="s">
        <v>17</v>
      </c>
      <c r="H772" s="3">
        <v>45375</v>
      </c>
      <c r="I772" s="3">
        <v>45384</v>
      </c>
      <c r="J772" t="s">
        <v>50</v>
      </c>
      <c r="K772" t="s">
        <v>47</v>
      </c>
      <c r="L772">
        <v>9</v>
      </c>
      <c r="M772" t="s">
        <v>67</v>
      </c>
    </row>
    <row r="773" spans="1:13" x14ac:dyDescent="0.35">
      <c r="A773" t="s">
        <v>830</v>
      </c>
      <c r="B773" t="s">
        <v>60</v>
      </c>
      <c r="C773" t="s">
        <v>27</v>
      </c>
      <c r="D773" t="s">
        <v>55</v>
      </c>
      <c r="E773">
        <v>11527</v>
      </c>
      <c r="F773">
        <v>9627</v>
      </c>
      <c r="G773" s="16" t="s">
        <v>17</v>
      </c>
      <c r="H773" s="3">
        <v>45455</v>
      </c>
      <c r="I773" s="3">
        <v>45458</v>
      </c>
      <c r="J773" t="s">
        <v>18</v>
      </c>
      <c r="K773" t="s">
        <v>56</v>
      </c>
      <c r="L773">
        <v>3</v>
      </c>
      <c r="M773" t="s">
        <v>36</v>
      </c>
    </row>
    <row r="774" spans="1:13" x14ac:dyDescent="0.35">
      <c r="A774" t="s">
        <v>831</v>
      </c>
      <c r="B774" t="s">
        <v>79</v>
      </c>
      <c r="C774" t="s">
        <v>38</v>
      </c>
      <c r="D774" t="s">
        <v>16</v>
      </c>
      <c r="E774">
        <v>33058</v>
      </c>
      <c r="F774">
        <v>31073</v>
      </c>
      <c r="G774" s="16" t="s">
        <v>17</v>
      </c>
      <c r="H774" s="3">
        <v>45585</v>
      </c>
      <c r="I774" s="3">
        <v>45588</v>
      </c>
      <c r="J774" t="s">
        <v>50</v>
      </c>
      <c r="K774" t="s">
        <v>43</v>
      </c>
      <c r="L774">
        <v>3</v>
      </c>
      <c r="M774" t="s">
        <v>76</v>
      </c>
    </row>
    <row r="775" spans="1:13" x14ac:dyDescent="0.35">
      <c r="A775" t="s">
        <v>832</v>
      </c>
      <c r="B775" t="s">
        <v>14</v>
      </c>
      <c r="C775" t="s">
        <v>64</v>
      </c>
      <c r="D775" t="s">
        <v>23</v>
      </c>
      <c r="E775">
        <v>11137</v>
      </c>
      <c r="F775">
        <v>0</v>
      </c>
      <c r="G775" s="16" t="s">
        <v>29</v>
      </c>
      <c r="H775" s="3">
        <v>45351</v>
      </c>
      <c r="I775" s="3"/>
      <c r="J775" t="s">
        <v>50</v>
      </c>
      <c r="K775" t="s">
        <v>47</v>
      </c>
      <c r="M775" t="s">
        <v>20</v>
      </c>
    </row>
    <row r="776" spans="1:13" x14ac:dyDescent="0.35">
      <c r="A776" t="s">
        <v>833</v>
      </c>
      <c r="B776" t="s">
        <v>22</v>
      </c>
      <c r="C776" t="s">
        <v>46</v>
      </c>
      <c r="D776" t="s">
        <v>55</v>
      </c>
      <c r="E776">
        <v>25422</v>
      </c>
      <c r="F776">
        <v>24754</v>
      </c>
      <c r="G776" s="16" t="s">
        <v>17</v>
      </c>
      <c r="H776" s="3">
        <v>45320</v>
      </c>
      <c r="I776" s="3">
        <v>45330</v>
      </c>
      <c r="J776" t="s">
        <v>18</v>
      </c>
      <c r="K776" t="s">
        <v>19</v>
      </c>
      <c r="L776">
        <v>10</v>
      </c>
      <c r="M776" t="s">
        <v>39</v>
      </c>
    </row>
    <row r="777" spans="1:13" x14ac:dyDescent="0.35">
      <c r="A777" t="s">
        <v>834</v>
      </c>
      <c r="B777" t="s">
        <v>79</v>
      </c>
      <c r="C777" t="s">
        <v>46</v>
      </c>
      <c r="D777" t="s">
        <v>16</v>
      </c>
      <c r="E777">
        <v>14826</v>
      </c>
      <c r="F777">
        <v>14655</v>
      </c>
      <c r="G777" s="16" t="s">
        <v>17</v>
      </c>
      <c r="H777" s="3">
        <v>45567</v>
      </c>
      <c r="I777" s="3">
        <v>45575</v>
      </c>
      <c r="J777" t="s">
        <v>18</v>
      </c>
      <c r="K777" t="s">
        <v>19</v>
      </c>
      <c r="L777">
        <v>8</v>
      </c>
      <c r="M777" t="s">
        <v>76</v>
      </c>
    </row>
    <row r="778" spans="1:13" x14ac:dyDescent="0.35">
      <c r="A778" t="s">
        <v>835</v>
      </c>
      <c r="B778" t="s">
        <v>22</v>
      </c>
      <c r="C778" t="s">
        <v>46</v>
      </c>
      <c r="D778" t="s">
        <v>55</v>
      </c>
      <c r="E778">
        <v>22824</v>
      </c>
      <c r="F778">
        <v>0</v>
      </c>
      <c r="G778" s="16" t="s">
        <v>29</v>
      </c>
      <c r="H778" s="3">
        <v>45601</v>
      </c>
      <c r="I778" s="3"/>
      <c r="J778" t="s">
        <v>18</v>
      </c>
      <c r="K778" t="s">
        <v>56</v>
      </c>
      <c r="M778" t="s">
        <v>48</v>
      </c>
    </row>
    <row r="779" spans="1:13" x14ac:dyDescent="0.35">
      <c r="A779" t="s">
        <v>836</v>
      </c>
      <c r="B779" t="s">
        <v>41</v>
      </c>
      <c r="C779" t="s">
        <v>27</v>
      </c>
      <c r="D779" t="s">
        <v>61</v>
      </c>
      <c r="E779">
        <v>48921</v>
      </c>
      <c r="F779">
        <v>48164</v>
      </c>
      <c r="G779" s="16" t="s">
        <v>17</v>
      </c>
      <c r="H779" s="3">
        <v>45489</v>
      </c>
      <c r="I779" s="3">
        <v>45495</v>
      </c>
      <c r="J779" t="s">
        <v>18</v>
      </c>
      <c r="K779" t="s">
        <v>43</v>
      </c>
      <c r="L779">
        <v>6</v>
      </c>
      <c r="M779" t="s">
        <v>85</v>
      </c>
    </row>
    <row r="780" spans="1:13" x14ac:dyDescent="0.35">
      <c r="A780" t="s">
        <v>837</v>
      </c>
      <c r="B780" t="s">
        <v>41</v>
      </c>
      <c r="C780" t="s">
        <v>38</v>
      </c>
      <c r="D780" t="s">
        <v>16</v>
      </c>
      <c r="E780">
        <v>31201</v>
      </c>
      <c r="F780">
        <v>0</v>
      </c>
      <c r="G780" s="16" t="s">
        <v>29</v>
      </c>
      <c r="H780" s="3">
        <v>45336</v>
      </c>
      <c r="I780" s="3"/>
      <c r="J780" t="s">
        <v>18</v>
      </c>
      <c r="K780" t="s">
        <v>56</v>
      </c>
      <c r="M780" t="s">
        <v>20</v>
      </c>
    </row>
    <row r="781" spans="1:13" x14ac:dyDescent="0.35">
      <c r="A781" t="s">
        <v>838</v>
      </c>
      <c r="B781" t="s">
        <v>72</v>
      </c>
      <c r="C781" t="s">
        <v>27</v>
      </c>
      <c r="D781" t="s">
        <v>55</v>
      </c>
      <c r="E781">
        <v>20915</v>
      </c>
      <c r="F781">
        <v>19265</v>
      </c>
      <c r="G781" s="16" t="s">
        <v>17</v>
      </c>
      <c r="H781" s="3">
        <v>45509</v>
      </c>
      <c r="I781" s="3">
        <v>45516</v>
      </c>
      <c r="J781" t="s">
        <v>18</v>
      </c>
      <c r="K781" t="s">
        <v>30</v>
      </c>
      <c r="L781">
        <v>7</v>
      </c>
      <c r="M781" t="s">
        <v>44</v>
      </c>
    </row>
    <row r="782" spans="1:13" x14ac:dyDescent="0.35">
      <c r="A782" t="s">
        <v>839</v>
      </c>
      <c r="B782" t="s">
        <v>53</v>
      </c>
      <c r="C782" t="s">
        <v>15</v>
      </c>
      <c r="D782" t="s">
        <v>61</v>
      </c>
      <c r="E782">
        <v>15617</v>
      </c>
      <c r="F782">
        <v>14645</v>
      </c>
      <c r="G782" s="16" t="s">
        <v>17</v>
      </c>
      <c r="H782" s="3">
        <v>45560</v>
      </c>
      <c r="I782" s="3">
        <v>45566</v>
      </c>
      <c r="J782" t="s">
        <v>18</v>
      </c>
      <c r="K782" t="s">
        <v>19</v>
      </c>
      <c r="L782">
        <v>6</v>
      </c>
      <c r="M782" t="s">
        <v>24</v>
      </c>
    </row>
    <row r="783" spans="1:13" x14ac:dyDescent="0.35">
      <c r="A783" t="s">
        <v>840</v>
      </c>
      <c r="B783" t="s">
        <v>22</v>
      </c>
      <c r="C783" t="s">
        <v>15</v>
      </c>
      <c r="D783" t="s">
        <v>23</v>
      </c>
      <c r="E783">
        <v>28834</v>
      </c>
      <c r="F783">
        <v>27986</v>
      </c>
      <c r="G783" s="16" t="s">
        <v>17</v>
      </c>
      <c r="H783" s="3">
        <v>45381</v>
      </c>
      <c r="I783" s="3">
        <v>45390</v>
      </c>
      <c r="J783" t="s">
        <v>50</v>
      </c>
      <c r="K783" t="s">
        <v>56</v>
      </c>
      <c r="L783">
        <v>9</v>
      </c>
      <c r="M783" t="s">
        <v>67</v>
      </c>
    </row>
    <row r="784" spans="1:13" x14ac:dyDescent="0.35">
      <c r="A784" t="s">
        <v>841</v>
      </c>
      <c r="B784" t="s">
        <v>53</v>
      </c>
      <c r="C784" t="s">
        <v>73</v>
      </c>
      <c r="D784" t="s">
        <v>28</v>
      </c>
      <c r="E784">
        <v>14190</v>
      </c>
      <c r="F784">
        <v>13598</v>
      </c>
      <c r="G784" s="16" t="s">
        <v>17</v>
      </c>
      <c r="H784" s="3">
        <v>45575</v>
      </c>
      <c r="I784" s="3">
        <v>45583</v>
      </c>
      <c r="J784" t="s">
        <v>18</v>
      </c>
      <c r="K784" t="s">
        <v>30</v>
      </c>
      <c r="L784">
        <v>8</v>
      </c>
      <c r="M784" t="s">
        <v>76</v>
      </c>
    </row>
    <row r="785" spans="1:13" x14ac:dyDescent="0.35">
      <c r="A785" t="s">
        <v>842</v>
      </c>
      <c r="B785" t="s">
        <v>96</v>
      </c>
      <c r="C785" t="s">
        <v>38</v>
      </c>
      <c r="D785" t="s">
        <v>55</v>
      </c>
      <c r="E785">
        <v>38653</v>
      </c>
      <c r="F785">
        <v>38194</v>
      </c>
      <c r="G785" s="16" t="s">
        <v>17</v>
      </c>
      <c r="H785" s="3">
        <v>45305</v>
      </c>
      <c r="I785" s="3">
        <v>45306</v>
      </c>
      <c r="J785" t="s">
        <v>18</v>
      </c>
      <c r="K785" t="s">
        <v>43</v>
      </c>
      <c r="L785">
        <v>1</v>
      </c>
      <c r="M785" t="s">
        <v>39</v>
      </c>
    </row>
    <row r="786" spans="1:13" x14ac:dyDescent="0.35">
      <c r="A786" t="s">
        <v>843</v>
      </c>
      <c r="B786" t="s">
        <v>96</v>
      </c>
      <c r="C786" t="s">
        <v>64</v>
      </c>
      <c r="D786" t="s">
        <v>70</v>
      </c>
      <c r="E786">
        <v>44848</v>
      </c>
      <c r="F786">
        <v>43994</v>
      </c>
      <c r="G786" s="16" t="s">
        <v>17</v>
      </c>
      <c r="H786" s="3">
        <v>45383</v>
      </c>
      <c r="I786" s="3">
        <v>45391</v>
      </c>
      <c r="J786" t="s">
        <v>18</v>
      </c>
      <c r="K786" t="s">
        <v>47</v>
      </c>
      <c r="L786">
        <v>8</v>
      </c>
      <c r="M786" t="s">
        <v>51</v>
      </c>
    </row>
    <row r="787" spans="1:13" x14ac:dyDescent="0.35">
      <c r="A787" t="s">
        <v>844</v>
      </c>
      <c r="B787" t="s">
        <v>14</v>
      </c>
      <c r="C787" t="s">
        <v>38</v>
      </c>
      <c r="D787" t="s">
        <v>55</v>
      </c>
      <c r="E787">
        <v>6372</v>
      </c>
      <c r="F787">
        <v>0</v>
      </c>
      <c r="G787" s="16" t="s">
        <v>29</v>
      </c>
      <c r="H787" s="3">
        <v>45477</v>
      </c>
      <c r="I787" s="3"/>
      <c r="J787" t="s">
        <v>50</v>
      </c>
      <c r="K787" t="s">
        <v>19</v>
      </c>
      <c r="M787" t="s">
        <v>85</v>
      </c>
    </row>
    <row r="788" spans="1:13" x14ac:dyDescent="0.35">
      <c r="A788" t="s">
        <v>845</v>
      </c>
      <c r="B788" t="s">
        <v>22</v>
      </c>
      <c r="C788" t="s">
        <v>38</v>
      </c>
      <c r="D788" t="s">
        <v>55</v>
      </c>
      <c r="E788">
        <v>47498</v>
      </c>
      <c r="F788">
        <v>46734</v>
      </c>
      <c r="G788" s="16" t="s">
        <v>17</v>
      </c>
      <c r="H788" s="3">
        <v>45554</v>
      </c>
      <c r="I788" s="3">
        <v>45564</v>
      </c>
      <c r="J788" t="s">
        <v>18</v>
      </c>
      <c r="K788" t="s">
        <v>30</v>
      </c>
      <c r="L788">
        <v>10</v>
      </c>
      <c r="M788" t="s">
        <v>24</v>
      </c>
    </row>
    <row r="789" spans="1:13" x14ac:dyDescent="0.35">
      <c r="A789" t="s">
        <v>846</v>
      </c>
      <c r="B789" t="s">
        <v>96</v>
      </c>
      <c r="C789" t="s">
        <v>73</v>
      </c>
      <c r="D789" t="s">
        <v>23</v>
      </c>
      <c r="E789">
        <v>11577</v>
      </c>
      <c r="F789">
        <v>10633</v>
      </c>
      <c r="G789" s="16" t="s">
        <v>17</v>
      </c>
      <c r="H789" s="3">
        <v>45646</v>
      </c>
      <c r="I789" s="3">
        <v>45649</v>
      </c>
      <c r="J789" t="s">
        <v>50</v>
      </c>
      <c r="K789" t="s">
        <v>47</v>
      </c>
      <c r="L789">
        <v>3</v>
      </c>
      <c r="M789" t="s">
        <v>62</v>
      </c>
    </row>
    <row r="790" spans="1:13" x14ac:dyDescent="0.35">
      <c r="A790" t="s">
        <v>847</v>
      </c>
      <c r="B790" t="s">
        <v>60</v>
      </c>
      <c r="C790" t="s">
        <v>38</v>
      </c>
      <c r="D790" t="s">
        <v>34</v>
      </c>
      <c r="E790">
        <v>29493</v>
      </c>
      <c r="F790">
        <v>29394</v>
      </c>
      <c r="G790" s="16" t="s">
        <v>17</v>
      </c>
      <c r="H790" s="3">
        <v>45440</v>
      </c>
      <c r="I790" s="3">
        <v>45445</v>
      </c>
      <c r="J790" t="s">
        <v>18</v>
      </c>
      <c r="K790" t="s">
        <v>19</v>
      </c>
      <c r="L790">
        <v>5</v>
      </c>
      <c r="M790" t="s">
        <v>31</v>
      </c>
    </row>
    <row r="791" spans="1:13" x14ac:dyDescent="0.35">
      <c r="A791" t="s">
        <v>848</v>
      </c>
      <c r="B791" t="s">
        <v>26</v>
      </c>
      <c r="C791" t="s">
        <v>73</v>
      </c>
      <c r="D791" t="s">
        <v>70</v>
      </c>
      <c r="E791">
        <v>41240</v>
      </c>
      <c r="F791">
        <v>40127</v>
      </c>
      <c r="G791" s="16" t="s">
        <v>17</v>
      </c>
      <c r="H791" s="3">
        <v>45457</v>
      </c>
      <c r="I791" s="3">
        <v>45463</v>
      </c>
      <c r="J791" t="s">
        <v>50</v>
      </c>
      <c r="K791" t="s">
        <v>43</v>
      </c>
      <c r="L791">
        <v>6</v>
      </c>
      <c r="M791" t="s">
        <v>36</v>
      </c>
    </row>
    <row r="792" spans="1:13" x14ac:dyDescent="0.35">
      <c r="A792" t="s">
        <v>849</v>
      </c>
      <c r="B792" t="s">
        <v>41</v>
      </c>
      <c r="C792" t="s">
        <v>15</v>
      </c>
      <c r="D792" t="s">
        <v>34</v>
      </c>
      <c r="E792">
        <v>11418</v>
      </c>
      <c r="F792">
        <v>11138</v>
      </c>
      <c r="G792" s="16" t="s">
        <v>17</v>
      </c>
      <c r="H792" s="3">
        <v>45557</v>
      </c>
      <c r="I792" s="3">
        <v>45562</v>
      </c>
      <c r="J792" t="s">
        <v>50</v>
      </c>
      <c r="K792" t="s">
        <v>30</v>
      </c>
      <c r="L792">
        <v>5</v>
      </c>
      <c r="M792" t="s">
        <v>24</v>
      </c>
    </row>
    <row r="793" spans="1:13" x14ac:dyDescent="0.35">
      <c r="A793" t="s">
        <v>850</v>
      </c>
      <c r="B793" t="s">
        <v>72</v>
      </c>
      <c r="C793" t="s">
        <v>27</v>
      </c>
      <c r="D793" t="s">
        <v>34</v>
      </c>
      <c r="E793">
        <v>12684</v>
      </c>
      <c r="F793">
        <v>12238</v>
      </c>
      <c r="G793" s="16" t="s">
        <v>17</v>
      </c>
      <c r="H793" s="3">
        <v>45371</v>
      </c>
      <c r="I793" s="3">
        <v>45380</v>
      </c>
      <c r="J793" t="s">
        <v>18</v>
      </c>
      <c r="K793" t="s">
        <v>30</v>
      </c>
      <c r="L793">
        <v>9</v>
      </c>
      <c r="M793" t="s">
        <v>67</v>
      </c>
    </row>
    <row r="794" spans="1:13" x14ac:dyDescent="0.35">
      <c r="A794" t="s">
        <v>851</v>
      </c>
      <c r="B794" t="s">
        <v>26</v>
      </c>
      <c r="C794" t="s">
        <v>15</v>
      </c>
      <c r="D794" t="s">
        <v>58</v>
      </c>
      <c r="E794">
        <v>32178</v>
      </c>
      <c r="F794">
        <v>31940</v>
      </c>
      <c r="G794" s="16" t="s">
        <v>17</v>
      </c>
      <c r="H794" s="3">
        <v>45359</v>
      </c>
      <c r="I794" s="3">
        <v>45360</v>
      </c>
      <c r="J794" t="s">
        <v>50</v>
      </c>
      <c r="K794" t="s">
        <v>43</v>
      </c>
      <c r="L794">
        <v>1</v>
      </c>
      <c r="M794" t="s">
        <v>67</v>
      </c>
    </row>
    <row r="795" spans="1:13" x14ac:dyDescent="0.35">
      <c r="A795" t="s">
        <v>852</v>
      </c>
      <c r="B795" t="s">
        <v>96</v>
      </c>
      <c r="C795" t="s">
        <v>38</v>
      </c>
      <c r="D795" t="s">
        <v>61</v>
      </c>
      <c r="E795">
        <v>30962</v>
      </c>
      <c r="F795">
        <v>0</v>
      </c>
      <c r="G795" s="16" t="s">
        <v>29</v>
      </c>
      <c r="H795" s="3">
        <v>45559</v>
      </c>
      <c r="I795" s="3"/>
      <c r="J795" t="s">
        <v>50</v>
      </c>
      <c r="K795" t="s">
        <v>47</v>
      </c>
      <c r="M795" t="s">
        <v>24</v>
      </c>
    </row>
    <row r="796" spans="1:13" x14ac:dyDescent="0.35">
      <c r="A796" t="s">
        <v>853</v>
      </c>
      <c r="B796" t="s">
        <v>96</v>
      </c>
      <c r="C796" t="s">
        <v>15</v>
      </c>
      <c r="D796" t="s">
        <v>70</v>
      </c>
      <c r="E796">
        <v>16572</v>
      </c>
      <c r="F796">
        <v>14818</v>
      </c>
      <c r="G796" s="16" t="s">
        <v>17</v>
      </c>
      <c r="H796" s="3">
        <v>45647</v>
      </c>
      <c r="I796" s="3">
        <v>45650</v>
      </c>
      <c r="J796" t="s">
        <v>18</v>
      </c>
      <c r="K796" t="s">
        <v>43</v>
      </c>
      <c r="L796">
        <v>3</v>
      </c>
      <c r="M796" t="s">
        <v>62</v>
      </c>
    </row>
    <row r="797" spans="1:13" x14ac:dyDescent="0.35">
      <c r="A797" t="s">
        <v>854</v>
      </c>
      <c r="B797" t="s">
        <v>33</v>
      </c>
      <c r="C797" t="s">
        <v>46</v>
      </c>
      <c r="D797" t="s">
        <v>61</v>
      </c>
      <c r="E797">
        <v>7151</v>
      </c>
      <c r="F797">
        <v>5737</v>
      </c>
      <c r="G797" s="16" t="s">
        <v>17</v>
      </c>
      <c r="H797" s="3">
        <v>45349</v>
      </c>
      <c r="I797" s="3">
        <v>45351</v>
      </c>
      <c r="J797" t="s">
        <v>18</v>
      </c>
      <c r="K797" t="s">
        <v>30</v>
      </c>
      <c r="L797">
        <v>2</v>
      </c>
      <c r="M797" t="s">
        <v>20</v>
      </c>
    </row>
    <row r="798" spans="1:13" x14ac:dyDescent="0.35">
      <c r="A798" t="s">
        <v>855</v>
      </c>
      <c r="B798" t="s">
        <v>72</v>
      </c>
      <c r="C798" t="s">
        <v>27</v>
      </c>
      <c r="D798" t="s">
        <v>23</v>
      </c>
      <c r="E798">
        <v>14868</v>
      </c>
      <c r="F798">
        <v>14801</v>
      </c>
      <c r="G798" s="16" t="s">
        <v>17</v>
      </c>
      <c r="H798" s="3">
        <v>45629</v>
      </c>
      <c r="I798" s="3">
        <v>45638</v>
      </c>
      <c r="J798" t="s">
        <v>18</v>
      </c>
      <c r="K798" t="s">
        <v>35</v>
      </c>
      <c r="L798">
        <v>9</v>
      </c>
      <c r="M798" t="s">
        <v>62</v>
      </c>
    </row>
    <row r="799" spans="1:13" x14ac:dyDescent="0.35">
      <c r="A799" t="s">
        <v>856</v>
      </c>
      <c r="B799" t="s">
        <v>14</v>
      </c>
      <c r="C799" t="s">
        <v>38</v>
      </c>
      <c r="D799" t="s">
        <v>23</v>
      </c>
      <c r="E799">
        <v>6341</v>
      </c>
      <c r="F799">
        <v>4974</v>
      </c>
      <c r="G799" s="16" t="s">
        <v>17</v>
      </c>
      <c r="H799" s="3">
        <v>45297</v>
      </c>
      <c r="I799" s="3">
        <v>45299</v>
      </c>
      <c r="J799" t="s">
        <v>18</v>
      </c>
      <c r="K799" t="s">
        <v>19</v>
      </c>
      <c r="L799">
        <v>2</v>
      </c>
      <c r="M799" t="s">
        <v>39</v>
      </c>
    </row>
    <row r="800" spans="1:13" x14ac:dyDescent="0.35">
      <c r="A800" t="s">
        <v>857</v>
      </c>
      <c r="B800" t="s">
        <v>26</v>
      </c>
      <c r="C800" t="s">
        <v>46</v>
      </c>
      <c r="D800" t="s">
        <v>61</v>
      </c>
      <c r="E800">
        <v>45948</v>
      </c>
      <c r="F800">
        <v>45889</v>
      </c>
      <c r="G800" s="16" t="s">
        <v>17</v>
      </c>
      <c r="H800" s="3">
        <v>45338</v>
      </c>
      <c r="I800" s="3">
        <v>45341</v>
      </c>
      <c r="J800" t="s">
        <v>50</v>
      </c>
      <c r="K800" t="s">
        <v>19</v>
      </c>
      <c r="L800">
        <v>3</v>
      </c>
      <c r="M800" t="s">
        <v>20</v>
      </c>
    </row>
    <row r="801" spans="1:13" x14ac:dyDescent="0.35">
      <c r="A801" t="s">
        <v>858</v>
      </c>
      <c r="B801" t="s">
        <v>41</v>
      </c>
      <c r="C801" t="s">
        <v>38</v>
      </c>
      <c r="D801" t="s">
        <v>61</v>
      </c>
      <c r="E801">
        <v>34809</v>
      </c>
      <c r="F801">
        <v>0</v>
      </c>
      <c r="G801" s="16" t="s">
        <v>29</v>
      </c>
      <c r="H801" s="3">
        <v>45415</v>
      </c>
      <c r="I801" s="3"/>
      <c r="J801" t="s">
        <v>18</v>
      </c>
      <c r="K801" t="s">
        <v>47</v>
      </c>
      <c r="M801" t="s">
        <v>31</v>
      </c>
    </row>
    <row r="802" spans="1:13" x14ac:dyDescent="0.35">
      <c r="A802" t="s">
        <v>859</v>
      </c>
      <c r="B802" t="s">
        <v>53</v>
      </c>
      <c r="C802" t="s">
        <v>15</v>
      </c>
      <c r="D802" t="s">
        <v>28</v>
      </c>
      <c r="E802">
        <v>48911</v>
      </c>
      <c r="F802">
        <v>46937</v>
      </c>
      <c r="G802" s="16" t="s">
        <v>17</v>
      </c>
      <c r="H802" s="3">
        <v>45436</v>
      </c>
      <c r="I802" s="3">
        <v>45439</v>
      </c>
      <c r="J802" t="s">
        <v>18</v>
      </c>
      <c r="K802" t="s">
        <v>56</v>
      </c>
      <c r="L802">
        <v>3</v>
      </c>
      <c r="M802" t="s">
        <v>31</v>
      </c>
    </row>
    <row r="803" spans="1:13" x14ac:dyDescent="0.35">
      <c r="A803" t="s">
        <v>860</v>
      </c>
      <c r="B803" t="s">
        <v>14</v>
      </c>
      <c r="C803" t="s">
        <v>46</v>
      </c>
      <c r="D803" t="s">
        <v>55</v>
      </c>
      <c r="E803">
        <v>26016</v>
      </c>
      <c r="F803">
        <v>0</v>
      </c>
      <c r="G803" s="16" t="s">
        <v>29</v>
      </c>
      <c r="H803" s="3">
        <v>45386</v>
      </c>
      <c r="I803" s="3"/>
      <c r="J803" t="s">
        <v>50</v>
      </c>
      <c r="K803" t="s">
        <v>56</v>
      </c>
      <c r="M803" t="s">
        <v>51</v>
      </c>
    </row>
    <row r="804" spans="1:13" x14ac:dyDescent="0.35">
      <c r="A804" t="s">
        <v>861</v>
      </c>
      <c r="B804" t="s">
        <v>14</v>
      </c>
      <c r="C804" t="s">
        <v>73</v>
      </c>
      <c r="D804" t="s">
        <v>34</v>
      </c>
      <c r="E804">
        <v>26878</v>
      </c>
      <c r="F804">
        <v>26440</v>
      </c>
      <c r="G804" s="16" t="s">
        <v>17</v>
      </c>
      <c r="H804" s="3">
        <v>45555</v>
      </c>
      <c r="I804" s="3">
        <v>45559</v>
      </c>
      <c r="J804" t="s">
        <v>50</v>
      </c>
      <c r="K804" t="s">
        <v>47</v>
      </c>
      <c r="L804">
        <v>4</v>
      </c>
      <c r="M804" t="s">
        <v>24</v>
      </c>
    </row>
    <row r="805" spans="1:13" x14ac:dyDescent="0.35">
      <c r="A805" t="s">
        <v>862</v>
      </c>
      <c r="B805" t="s">
        <v>41</v>
      </c>
      <c r="C805" t="s">
        <v>15</v>
      </c>
      <c r="D805" t="s">
        <v>55</v>
      </c>
      <c r="E805">
        <v>9229</v>
      </c>
      <c r="F805">
        <v>0</v>
      </c>
      <c r="G805" s="16" t="s">
        <v>29</v>
      </c>
      <c r="H805" s="3">
        <v>45361</v>
      </c>
      <c r="I805" s="3"/>
      <c r="J805" t="s">
        <v>50</v>
      </c>
      <c r="K805" t="s">
        <v>30</v>
      </c>
      <c r="M805" t="s">
        <v>67</v>
      </c>
    </row>
    <row r="806" spans="1:13" x14ac:dyDescent="0.35">
      <c r="A806" t="s">
        <v>863</v>
      </c>
      <c r="B806" t="s">
        <v>41</v>
      </c>
      <c r="C806" t="s">
        <v>38</v>
      </c>
      <c r="D806" t="s">
        <v>23</v>
      </c>
      <c r="E806">
        <v>7390</v>
      </c>
      <c r="F806">
        <v>6379</v>
      </c>
      <c r="G806" s="16" t="s">
        <v>17</v>
      </c>
      <c r="H806" s="3">
        <v>45351</v>
      </c>
      <c r="I806" s="3">
        <v>45358</v>
      </c>
      <c r="J806" t="s">
        <v>50</v>
      </c>
      <c r="K806" t="s">
        <v>35</v>
      </c>
      <c r="L806">
        <v>7</v>
      </c>
      <c r="M806" t="s">
        <v>20</v>
      </c>
    </row>
    <row r="807" spans="1:13" x14ac:dyDescent="0.35">
      <c r="A807" t="s">
        <v>864</v>
      </c>
      <c r="B807" t="s">
        <v>53</v>
      </c>
      <c r="C807" t="s">
        <v>38</v>
      </c>
      <c r="D807" t="s">
        <v>55</v>
      </c>
      <c r="E807">
        <v>16802</v>
      </c>
      <c r="F807">
        <v>0</v>
      </c>
      <c r="G807" s="16" t="s">
        <v>29</v>
      </c>
      <c r="H807" s="3">
        <v>45500</v>
      </c>
      <c r="I807" s="3"/>
      <c r="J807" t="s">
        <v>50</v>
      </c>
      <c r="K807" t="s">
        <v>30</v>
      </c>
      <c r="M807" t="s">
        <v>85</v>
      </c>
    </row>
    <row r="808" spans="1:13" x14ac:dyDescent="0.35">
      <c r="A808" t="s">
        <v>865</v>
      </c>
      <c r="B808" t="s">
        <v>22</v>
      </c>
      <c r="C808" t="s">
        <v>46</v>
      </c>
      <c r="D808" t="s">
        <v>70</v>
      </c>
      <c r="E808">
        <v>33173</v>
      </c>
      <c r="F808">
        <v>32806</v>
      </c>
      <c r="G808" s="16" t="s">
        <v>17</v>
      </c>
      <c r="H808" s="3">
        <v>45298</v>
      </c>
      <c r="I808" s="3">
        <v>45306</v>
      </c>
      <c r="J808" t="s">
        <v>18</v>
      </c>
      <c r="K808" t="s">
        <v>35</v>
      </c>
      <c r="L808">
        <v>8</v>
      </c>
      <c r="M808" t="s">
        <v>39</v>
      </c>
    </row>
    <row r="809" spans="1:13" x14ac:dyDescent="0.35">
      <c r="A809" t="s">
        <v>866</v>
      </c>
      <c r="B809" t="s">
        <v>72</v>
      </c>
      <c r="C809" t="s">
        <v>15</v>
      </c>
      <c r="D809" t="s">
        <v>70</v>
      </c>
      <c r="E809">
        <v>11395</v>
      </c>
      <c r="F809">
        <v>10575</v>
      </c>
      <c r="G809" s="16" t="s">
        <v>17</v>
      </c>
      <c r="H809" s="3">
        <v>45647</v>
      </c>
      <c r="I809" s="3">
        <v>45657</v>
      </c>
      <c r="J809" t="s">
        <v>18</v>
      </c>
      <c r="K809" t="s">
        <v>56</v>
      </c>
      <c r="L809">
        <v>10</v>
      </c>
      <c r="M809" t="s">
        <v>62</v>
      </c>
    </row>
    <row r="810" spans="1:13" x14ac:dyDescent="0.35">
      <c r="A810" t="s">
        <v>867</v>
      </c>
      <c r="B810" t="s">
        <v>33</v>
      </c>
      <c r="C810" t="s">
        <v>15</v>
      </c>
      <c r="D810" t="s">
        <v>34</v>
      </c>
      <c r="E810">
        <v>15047</v>
      </c>
      <c r="F810">
        <v>14637</v>
      </c>
      <c r="G810" s="16" t="s">
        <v>17</v>
      </c>
      <c r="H810" s="3">
        <v>45596</v>
      </c>
      <c r="I810" s="3">
        <v>45603</v>
      </c>
      <c r="J810" t="s">
        <v>18</v>
      </c>
      <c r="K810" t="s">
        <v>47</v>
      </c>
      <c r="L810">
        <v>7</v>
      </c>
      <c r="M810" t="s">
        <v>76</v>
      </c>
    </row>
    <row r="811" spans="1:13" x14ac:dyDescent="0.35">
      <c r="A811" t="s">
        <v>868</v>
      </c>
      <c r="B811" t="s">
        <v>22</v>
      </c>
      <c r="C811" t="s">
        <v>64</v>
      </c>
      <c r="D811" t="s">
        <v>16</v>
      </c>
      <c r="E811">
        <v>48759</v>
      </c>
      <c r="F811">
        <v>0</v>
      </c>
      <c r="G811" s="16" t="s">
        <v>29</v>
      </c>
      <c r="H811" s="3">
        <v>45595</v>
      </c>
      <c r="I811" s="3"/>
      <c r="J811" t="s">
        <v>50</v>
      </c>
      <c r="K811" t="s">
        <v>30</v>
      </c>
      <c r="M811" t="s">
        <v>76</v>
      </c>
    </row>
    <row r="812" spans="1:13" x14ac:dyDescent="0.35">
      <c r="A812" t="s">
        <v>869</v>
      </c>
      <c r="B812" t="s">
        <v>22</v>
      </c>
      <c r="C812" t="s">
        <v>38</v>
      </c>
      <c r="D812" t="s">
        <v>55</v>
      </c>
      <c r="E812">
        <v>45691</v>
      </c>
      <c r="F812">
        <v>0</v>
      </c>
      <c r="G812" s="16" t="s">
        <v>29</v>
      </c>
      <c r="H812" s="3">
        <v>45499</v>
      </c>
      <c r="I812" s="3"/>
      <c r="J812" t="s">
        <v>50</v>
      </c>
      <c r="K812" t="s">
        <v>19</v>
      </c>
      <c r="M812" t="s">
        <v>85</v>
      </c>
    </row>
    <row r="813" spans="1:13" x14ac:dyDescent="0.35">
      <c r="A813" t="s">
        <v>870</v>
      </c>
      <c r="B813" t="s">
        <v>96</v>
      </c>
      <c r="C813" t="s">
        <v>73</v>
      </c>
      <c r="D813" t="s">
        <v>55</v>
      </c>
      <c r="E813">
        <v>9080</v>
      </c>
      <c r="F813">
        <v>8567</v>
      </c>
      <c r="G813" s="16" t="s">
        <v>17</v>
      </c>
      <c r="H813" s="3">
        <v>45542</v>
      </c>
      <c r="I813" s="3">
        <v>45550</v>
      </c>
      <c r="J813" t="s">
        <v>18</v>
      </c>
      <c r="K813" t="s">
        <v>56</v>
      </c>
      <c r="L813">
        <v>8</v>
      </c>
      <c r="M813" t="s">
        <v>24</v>
      </c>
    </row>
    <row r="814" spans="1:13" x14ac:dyDescent="0.35">
      <c r="A814" t="s">
        <v>871</v>
      </c>
      <c r="B814" t="s">
        <v>33</v>
      </c>
      <c r="C814" t="s">
        <v>15</v>
      </c>
      <c r="D814" t="s">
        <v>70</v>
      </c>
      <c r="E814">
        <v>5463</v>
      </c>
      <c r="F814">
        <v>4443</v>
      </c>
      <c r="G814" s="16" t="s">
        <v>17</v>
      </c>
      <c r="H814" s="3">
        <v>45639</v>
      </c>
      <c r="I814" s="3">
        <v>45640</v>
      </c>
      <c r="J814" t="s">
        <v>18</v>
      </c>
      <c r="K814" t="s">
        <v>35</v>
      </c>
      <c r="L814">
        <v>1</v>
      </c>
      <c r="M814" t="s">
        <v>62</v>
      </c>
    </row>
    <row r="815" spans="1:13" x14ac:dyDescent="0.35">
      <c r="A815" t="s">
        <v>872</v>
      </c>
      <c r="B815" t="s">
        <v>53</v>
      </c>
      <c r="C815" t="s">
        <v>38</v>
      </c>
      <c r="D815" t="s">
        <v>61</v>
      </c>
      <c r="E815">
        <v>21841</v>
      </c>
      <c r="F815">
        <v>0</v>
      </c>
      <c r="G815" s="16" t="s">
        <v>29</v>
      </c>
      <c r="H815" s="3">
        <v>45611</v>
      </c>
      <c r="I815" s="3"/>
      <c r="J815" t="s">
        <v>18</v>
      </c>
      <c r="K815" t="s">
        <v>30</v>
      </c>
      <c r="M815" t="s">
        <v>48</v>
      </c>
    </row>
    <row r="816" spans="1:13" x14ac:dyDescent="0.35">
      <c r="A816" t="s">
        <v>873</v>
      </c>
      <c r="B816" t="s">
        <v>14</v>
      </c>
      <c r="C816" t="s">
        <v>64</v>
      </c>
      <c r="D816" t="s">
        <v>55</v>
      </c>
      <c r="E816">
        <v>15233</v>
      </c>
      <c r="F816">
        <v>13878</v>
      </c>
      <c r="G816" s="16" t="s">
        <v>17</v>
      </c>
      <c r="H816" s="3">
        <v>45546</v>
      </c>
      <c r="I816" s="3">
        <v>45554</v>
      </c>
      <c r="J816" t="s">
        <v>50</v>
      </c>
      <c r="K816" t="s">
        <v>19</v>
      </c>
      <c r="L816">
        <v>8</v>
      </c>
      <c r="M816" t="s">
        <v>24</v>
      </c>
    </row>
    <row r="817" spans="1:13" x14ac:dyDescent="0.35">
      <c r="A817" t="s">
        <v>874</v>
      </c>
      <c r="B817" t="s">
        <v>41</v>
      </c>
      <c r="C817" t="s">
        <v>15</v>
      </c>
      <c r="D817" t="s">
        <v>23</v>
      </c>
      <c r="E817">
        <v>30207</v>
      </c>
      <c r="F817">
        <v>29422</v>
      </c>
      <c r="G817" s="16" t="s">
        <v>17</v>
      </c>
      <c r="H817" s="3">
        <v>45522</v>
      </c>
      <c r="I817" s="3">
        <v>45528</v>
      </c>
      <c r="J817" t="s">
        <v>50</v>
      </c>
      <c r="K817" t="s">
        <v>35</v>
      </c>
      <c r="L817">
        <v>6</v>
      </c>
      <c r="M817" t="s">
        <v>44</v>
      </c>
    </row>
    <row r="818" spans="1:13" x14ac:dyDescent="0.35">
      <c r="A818" t="s">
        <v>875</v>
      </c>
      <c r="B818" t="s">
        <v>72</v>
      </c>
      <c r="C818" t="s">
        <v>15</v>
      </c>
      <c r="D818" t="s">
        <v>23</v>
      </c>
      <c r="E818">
        <v>13591</v>
      </c>
      <c r="F818">
        <v>0</v>
      </c>
      <c r="G818" s="16" t="s">
        <v>29</v>
      </c>
      <c r="H818" s="3">
        <v>45629</v>
      </c>
      <c r="I818" s="3"/>
      <c r="J818" t="s">
        <v>50</v>
      </c>
      <c r="K818" t="s">
        <v>56</v>
      </c>
      <c r="M818" t="s">
        <v>62</v>
      </c>
    </row>
    <row r="819" spans="1:13" x14ac:dyDescent="0.35">
      <c r="A819" t="s">
        <v>876</v>
      </c>
      <c r="B819" t="s">
        <v>33</v>
      </c>
      <c r="C819" t="s">
        <v>64</v>
      </c>
      <c r="D819" t="s">
        <v>58</v>
      </c>
      <c r="E819">
        <v>10813</v>
      </c>
      <c r="F819">
        <v>9348</v>
      </c>
      <c r="G819" s="16" t="s">
        <v>17</v>
      </c>
      <c r="H819" s="3">
        <v>45491</v>
      </c>
      <c r="I819" s="3">
        <v>45499</v>
      </c>
      <c r="J819" t="s">
        <v>18</v>
      </c>
      <c r="K819" t="s">
        <v>19</v>
      </c>
      <c r="L819">
        <v>8</v>
      </c>
      <c r="M819" t="s">
        <v>85</v>
      </c>
    </row>
    <row r="820" spans="1:13" x14ac:dyDescent="0.35">
      <c r="A820" t="s">
        <v>877</v>
      </c>
      <c r="B820" t="s">
        <v>72</v>
      </c>
      <c r="C820" t="s">
        <v>64</v>
      </c>
      <c r="D820" t="s">
        <v>55</v>
      </c>
      <c r="E820">
        <v>38847</v>
      </c>
      <c r="F820">
        <v>37810</v>
      </c>
      <c r="G820" s="16" t="s">
        <v>17</v>
      </c>
      <c r="H820" s="3">
        <v>45320</v>
      </c>
      <c r="I820" s="3">
        <v>45327</v>
      </c>
      <c r="J820" t="s">
        <v>50</v>
      </c>
      <c r="K820" t="s">
        <v>35</v>
      </c>
      <c r="L820">
        <v>7</v>
      </c>
      <c r="M820" t="s">
        <v>39</v>
      </c>
    </row>
    <row r="821" spans="1:13" x14ac:dyDescent="0.35">
      <c r="A821" t="s">
        <v>878</v>
      </c>
      <c r="B821" t="s">
        <v>53</v>
      </c>
      <c r="C821" t="s">
        <v>27</v>
      </c>
      <c r="D821" t="s">
        <v>34</v>
      </c>
      <c r="E821">
        <v>20640</v>
      </c>
      <c r="F821">
        <v>20515</v>
      </c>
      <c r="G821" s="16" t="s">
        <v>17</v>
      </c>
      <c r="H821" s="3">
        <v>45306</v>
      </c>
      <c r="I821" s="3">
        <v>45316</v>
      </c>
      <c r="J821" t="s">
        <v>18</v>
      </c>
      <c r="K821" t="s">
        <v>47</v>
      </c>
      <c r="L821">
        <v>10</v>
      </c>
      <c r="M821" t="s">
        <v>39</v>
      </c>
    </row>
    <row r="822" spans="1:13" x14ac:dyDescent="0.35">
      <c r="A822" t="s">
        <v>879</v>
      </c>
      <c r="B822" t="s">
        <v>41</v>
      </c>
      <c r="C822" t="s">
        <v>38</v>
      </c>
      <c r="D822" t="s">
        <v>23</v>
      </c>
      <c r="E822">
        <v>42970</v>
      </c>
      <c r="F822">
        <v>42191</v>
      </c>
      <c r="G822" s="16" t="s">
        <v>17</v>
      </c>
      <c r="H822" s="3">
        <v>45341</v>
      </c>
      <c r="I822" s="3">
        <v>45348</v>
      </c>
      <c r="J822" t="s">
        <v>50</v>
      </c>
      <c r="K822" t="s">
        <v>43</v>
      </c>
      <c r="L822">
        <v>7</v>
      </c>
      <c r="M822" t="s">
        <v>20</v>
      </c>
    </row>
    <row r="823" spans="1:13" x14ac:dyDescent="0.35">
      <c r="A823" t="s">
        <v>880</v>
      </c>
      <c r="B823" t="s">
        <v>22</v>
      </c>
      <c r="C823" t="s">
        <v>38</v>
      </c>
      <c r="D823" t="s">
        <v>23</v>
      </c>
      <c r="E823">
        <v>45335</v>
      </c>
      <c r="F823">
        <v>44828</v>
      </c>
      <c r="G823" s="16" t="s">
        <v>17</v>
      </c>
      <c r="H823" s="3">
        <v>45412</v>
      </c>
      <c r="I823" s="3">
        <v>45417</v>
      </c>
      <c r="J823" t="s">
        <v>18</v>
      </c>
      <c r="K823" t="s">
        <v>56</v>
      </c>
      <c r="L823">
        <v>5</v>
      </c>
      <c r="M823" t="s">
        <v>51</v>
      </c>
    </row>
    <row r="824" spans="1:13" x14ac:dyDescent="0.35">
      <c r="A824" t="s">
        <v>881</v>
      </c>
      <c r="B824" t="s">
        <v>14</v>
      </c>
      <c r="C824" t="s">
        <v>38</v>
      </c>
      <c r="D824" t="s">
        <v>70</v>
      </c>
      <c r="E824">
        <v>24124</v>
      </c>
      <c r="F824">
        <v>24084</v>
      </c>
      <c r="G824" s="16" t="s">
        <v>17</v>
      </c>
      <c r="H824" s="3">
        <v>45567</v>
      </c>
      <c r="I824" s="3">
        <v>45573</v>
      </c>
      <c r="J824" t="s">
        <v>18</v>
      </c>
      <c r="K824" t="s">
        <v>35</v>
      </c>
      <c r="L824">
        <v>6</v>
      </c>
      <c r="M824" t="s">
        <v>76</v>
      </c>
    </row>
    <row r="825" spans="1:13" x14ac:dyDescent="0.35">
      <c r="A825" t="s">
        <v>882</v>
      </c>
      <c r="B825" t="s">
        <v>22</v>
      </c>
      <c r="C825" t="s">
        <v>27</v>
      </c>
      <c r="D825" t="s">
        <v>16</v>
      </c>
      <c r="E825">
        <v>3337</v>
      </c>
      <c r="F825">
        <v>2133</v>
      </c>
      <c r="G825" s="16" t="s">
        <v>17</v>
      </c>
      <c r="H825" s="3">
        <v>45303</v>
      </c>
      <c r="I825" s="3">
        <v>45309</v>
      </c>
      <c r="J825" t="s">
        <v>50</v>
      </c>
      <c r="K825" t="s">
        <v>19</v>
      </c>
      <c r="L825">
        <v>6</v>
      </c>
      <c r="M825" t="s">
        <v>39</v>
      </c>
    </row>
    <row r="826" spans="1:13" x14ac:dyDescent="0.35">
      <c r="A826" t="s">
        <v>883</v>
      </c>
      <c r="B826" t="s">
        <v>22</v>
      </c>
      <c r="C826" t="s">
        <v>38</v>
      </c>
      <c r="D826" t="s">
        <v>70</v>
      </c>
      <c r="E826">
        <v>34005</v>
      </c>
      <c r="F826">
        <v>32591</v>
      </c>
      <c r="G826" s="16" t="s">
        <v>17</v>
      </c>
      <c r="H826" s="3">
        <v>45637</v>
      </c>
      <c r="I826" s="3">
        <v>45641</v>
      </c>
      <c r="J826" t="s">
        <v>50</v>
      </c>
      <c r="K826" t="s">
        <v>35</v>
      </c>
      <c r="L826">
        <v>4</v>
      </c>
      <c r="M826" t="s">
        <v>62</v>
      </c>
    </row>
    <row r="827" spans="1:13" x14ac:dyDescent="0.35">
      <c r="A827" t="s">
        <v>884</v>
      </c>
      <c r="B827" t="s">
        <v>79</v>
      </c>
      <c r="C827" t="s">
        <v>38</v>
      </c>
      <c r="D827" t="s">
        <v>61</v>
      </c>
      <c r="E827">
        <v>42293</v>
      </c>
      <c r="F827">
        <v>41549</v>
      </c>
      <c r="G827" s="16" t="s">
        <v>17</v>
      </c>
      <c r="H827" s="3">
        <v>45515</v>
      </c>
      <c r="I827" s="3">
        <v>45519</v>
      </c>
      <c r="J827" t="s">
        <v>50</v>
      </c>
      <c r="K827" t="s">
        <v>56</v>
      </c>
      <c r="L827">
        <v>4</v>
      </c>
      <c r="M827" t="s">
        <v>44</v>
      </c>
    </row>
    <row r="828" spans="1:13" x14ac:dyDescent="0.35">
      <c r="A828" t="s">
        <v>885</v>
      </c>
      <c r="B828" t="s">
        <v>14</v>
      </c>
      <c r="C828" t="s">
        <v>46</v>
      </c>
      <c r="D828" t="s">
        <v>16</v>
      </c>
      <c r="E828">
        <v>19377</v>
      </c>
      <c r="F828">
        <v>18769</v>
      </c>
      <c r="G828" s="16" t="s">
        <v>17</v>
      </c>
      <c r="H828" s="3">
        <v>45585</v>
      </c>
      <c r="I828" s="3">
        <v>45592</v>
      </c>
      <c r="J828" t="s">
        <v>18</v>
      </c>
      <c r="K828" t="s">
        <v>19</v>
      </c>
      <c r="L828">
        <v>7</v>
      </c>
      <c r="M828" t="s">
        <v>76</v>
      </c>
    </row>
    <row r="829" spans="1:13" x14ac:dyDescent="0.35">
      <c r="A829" t="s">
        <v>886</v>
      </c>
      <c r="B829" t="s">
        <v>14</v>
      </c>
      <c r="C829" t="s">
        <v>15</v>
      </c>
      <c r="D829" t="s">
        <v>34</v>
      </c>
      <c r="E829">
        <v>19915</v>
      </c>
      <c r="F829">
        <v>18755</v>
      </c>
      <c r="G829" s="16" t="s">
        <v>17</v>
      </c>
      <c r="H829" s="3">
        <v>45563</v>
      </c>
      <c r="I829" s="3">
        <v>45571</v>
      </c>
      <c r="J829" t="s">
        <v>50</v>
      </c>
      <c r="K829" t="s">
        <v>47</v>
      </c>
      <c r="L829">
        <v>8</v>
      </c>
      <c r="M829" t="s">
        <v>24</v>
      </c>
    </row>
    <row r="830" spans="1:13" x14ac:dyDescent="0.35">
      <c r="A830" t="s">
        <v>887</v>
      </c>
      <c r="B830" t="s">
        <v>41</v>
      </c>
      <c r="C830" t="s">
        <v>15</v>
      </c>
      <c r="D830" t="s">
        <v>16</v>
      </c>
      <c r="E830">
        <v>35072</v>
      </c>
      <c r="F830">
        <v>34186</v>
      </c>
      <c r="G830" s="16" t="s">
        <v>17</v>
      </c>
      <c r="H830" s="3">
        <v>45631</v>
      </c>
      <c r="I830" s="3">
        <v>45640</v>
      </c>
      <c r="J830" t="s">
        <v>50</v>
      </c>
      <c r="K830" t="s">
        <v>47</v>
      </c>
      <c r="L830">
        <v>9</v>
      </c>
      <c r="M830" t="s">
        <v>62</v>
      </c>
    </row>
    <row r="831" spans="1:13" x14ac:dyDescent="0.35">
      <c r="A831" t="s">
        <v>888</v>
      </c>
      <c r="B831" t="s">
        <v>22</v>
      </c>
      <c r="C831" t="s">
        <v>27</v>
      </c>
      <c r="D831" t="s">
        <v>16</v>
      </c>
      <c r="E831">
        <v>42957</v>
      </c>
      <c r="F831">
        <v>0</v>
      </c>
      <c r="G831" s="16" t="s">
        <v>29</v>
      </c>
      <c r="H831" s="3">
        <v>45524</v>
      </c>
      <c r="I831" s="3"/>
      <c r="J831" t="s">
        <v>18</v>
      </c>
      <c r="K831" t="s">
        <v>47</v>
      </c>
      <c r="M831" t="s">
        <v>44</v>
      </c>
    </row>
    <row r="832" spans="1:13" x14ac:dyDescent="0.35">
      <c r="A832" t="s">
        <v>889</v>
      </c>
      <c r="B832" t="s">
        <v>79</v>
      </c>
      <c r="C832" t="s">
        <v>73</v>
      </c>
      <c r="D832" t="s">
        <v>55</v>
      </c>
      <c r="E832">
        <v>15956</v>
      </c>
      <c r="F832">
        <v>15408</v>
      </c>
      <c r="G832" s="16" t="s">
        <v>17</v>
      </c>
      <c r="H832" s="3">
        <v>45618</v>
      </c>
      <c r="I832" s="3">
        <v>45627</v>
      </c>
      <c r="J832" t="s">
        <v>50</v>
      </c>
      <c r="K832" t="s">
        <v>19</v>
      </c>
      <c r="L832">
        <v>9</v>
      </c>
      <c r="M832" t="s">
        <v>48</v>
      </c>
    </row>
    <row r="833" spans="1:13" x14ac:dyDescent="0.35">
      <c r="A833" t="s">
        <v>890</v>
      </c>
      <c r="B833" t="s">
        <v>60</v>
      </c>
      <c r="C833" t="s">
        <v>46</v>
      </c>
      <c r="D833" t="s">
        <v>34</v>
      </c>
      <c r="E833">
        <v>32309</v>
      </c>
      <c r="F833">
        <v>31817</v>
      </c>
      <c r="G833" s="16" t="s">
        <v>17</v>
      </c>
      <c r="H833" s="3">
        <v>45369</v>
      </c>
      <c r="I833" s="3">
        <v>45374</v>
      </c>
      <c r="J833" t="s">
        <v>50</v>
      </c>
      <c r="K833" t="s">
        <v>35</v>
      </c>
      <c r="L833">
        <v>5</v>
      </c>
      <c r="M833" t="s">
        <v>67</v>
      </c>
    </row>
    <row r="834" spans="1:13" x14ac:dyDescent="0.35">
      <c r="A834" t="s">
        <v>891</v>
      </c>
      <c r="B834" t="s">
        <v>41</v>
      </c>
      <c r="C834" t="s">
        <v>15</v>
      </c>
      <c r="D834" t="s">
        <v>28</v>
      </c>
      <c r="E834">
        <v>29029</v>
      </c>
      <c r="F834">
        <v>27343</v>
      </c>
      <c r="G834" s="16" t="s">
        <v>17</v>
      </c>
      <c r="H834" s="3">
        <v>45438</v>
      </c>
      <c r="I834" s="3">
        <v>45441</v>
      </c>
      <c r="J834" t="s">
        <v>50</v>
      </c>
      <c r="K834" t="s">
        <v>56</v>
      </c>
      <c r="L834">
        <v>3</v>
      </c>
      <c r="M834" t="s">
        <v>31</v>
      </c>
    </row>
    <row r="835" spans="1:13" x14ac:dyDescent="0.35">
      <c r="A835" t="s">
        <v>892</v>
      </c>
      <c r="B835" t="s">
        <v>53</v>
      </c>
      <c r="C835" t="s">
        <v>46</v>
      </c>
      <c r="D835" t="s">
        <v>58</v>
      </c>
      <c r="E835">
        <v>17629</v>
      </c>
      <c r="F835">
        <v>17322</v>
      </c>
      <c r="G835" s="16" t="s">
        <v>17</v>
      </c>
      <c r="H835" s="3">
        <v>45390</v>
      </c>
      <c r="I835" s="3">
        <v>45391</v>
      </c>
      <c r="J835" t="s">
        <v>18</v>
      </c>
      <c r="K835" t="s">
        <v>30</v>
      </c>
      <c r="L835">
        <v>1</v>
      </c>
      <c r="M835" t="s">
        <v>51</v>
      </c>
    </row>
    <row r="836" spans="1:13" x14ac:dyDescent="0.35">
      <c r="A836" t="s">
        <v>893</v>
      </c>
      <c r="B836" t="s">
        <v>96</v>
      </c>
      <c r="C836" t="s">
        <v>64</v>
      </c>
      <c r="D836" t="s">
        <v>55</v>
      </c>
      <c r="E836">
        <v>38688</v>
      </c>
      <c r="F836">
        <v>37824</v>
      </c>
      <c r="G836" s="16" t="s">
        <v>17</v>
      </c>
      <c r="H836" s="3">
        <v>45623</v>
      </c>
      <c r="I836" s="3">
        <v>45624</v>
      </c>
      <c r="J836" t="s">
        <v>18</v>
      </c>
      <c r="K836" t="s">
        <v>47</v>
      </c>
      <c r="L836">
        <v>1</v>
      </c>
      <c r="M836" t="s">
        <v>48</v>
      </c>
    </row>
    <row r="837" spans="1:13" x14ac:dyDescent="0.35">
      <c r="A837" t="s">
        <v>894</v>
      </c>
      <c r="B837" t="s">
        <v>96</v>
      </c>
      <c r="C837" t="s">
        <v>73</v>
      </c>
      <c r="D837" t="s">
        <v>23</v>
      </c>
      <c r="E837">
        <v>18934</v>
      </c>
      <c r="F837">
        <v>17586</v>
      </c>
      <c r="G837" s="16" t="s">
        <v>17</v>
      </c>
      <c r="H837" s="3">
        <v>45573</v>
      </c>
      <c r="I837" s="3">
        <v>45576</v>
      </c>
      <c r="J837" t="s">
        <v>18</v>
      </c>
      <c r="K837" t="s">
        <v>56</v>
      </c>
      <c r="L837">
        <v>3</v>
      </c>
      <c r="M837" t="s">
        <v>76</v>
      </c>
    </row>
    <row r="838" spans="1:13" x14ac:dyDescent="0.35">
      <c r="A838" t="s">
        <v>895</v>
      </c>
      <c r="B838" t="s">
        <v>72</v>
      </c>
      <c r="C838" t="s">
        <v>15</v>
      </c>
      <c r="D838" t="s">
        <v>23</v>
      </c>
      <c r="E838">
        <v>7500</v>
      </c>
      <c r="F838">
        <v>6268</v>
      </c>
      <c r="G838" s="16" t="s">
        <v>17</v>
      </c>
      <c r="H838" s="3">
        <v>45444</v>
      </c>
      <c r="I838" s="3">
        <v>45446</v>
      </c>
      <c r="J838" t="s">
        <v>50</v>
      </c>
      <c r="K838" t="s">
        <v>43</v>
      </c>
      <c r="L838">
        <v>2</v>
      </c>
      <c r="M838" t="s">
        <v>36</v>
      </c>
    </row>
    <row r="839" spans="1:13" x14ac:dyDescent="0.35">
      <c r="A839" t="s">
        <v>896</v>
      </c>
      <c r="B839" t="s">
        <v>14</v>
      </c>
      <c r="C839" t="s">
        <v>27</v>
      </c>
      <c r="D839" t="s">
        <v>61</v>
      </c>
      <c r="E839">
        <v>17469</v>
      </c>
      <c r="F839">
        <v>16300</v>
      </c>
      <c r="G839" s="16" t="s">
        <v>17</v>
      </c>
      <c r="H839" s="3">
        <v>45548</v>
      </c>
      <c r="I839" s="3">
        <v>45550</v>
      </c>
      <c r="J839" t="s">
        <v>50</v>
      </c>
      <c r="K839" t="s">
        <v>35</v>
      </c>
      <c r="L839">
        <v>2</v>
      </c>
      <c r="M839" t="s">
        <v>24</v>
      </c>
    </row>
    <row r="840" spans="1:13" x14ac:dyDescent="0.35">
      <c r="A840" t="s">
        <v>897</v>
      </c>
      <c r="B840" t="s">
        <v>14</v>
      </c>
      <c r="C840" t="s">
        <v>46</v>
      </c>
      <c r="D840" t="s">
        <v>70</v>
      </c>
      <c r="E840">
        <v>22539</v>
      </c>
      <c r="F840">
        <v>20835</v>
      </c>
      <c r="G840" s="16" t="s">
        <v>17</v>
      </c>
      <c r="H840" s="3">
        <v>45591</v>
      </c>
      <c r="I840" s="3">
        <v>45598</v>
      </c>
      <c r="J840" t="s">
        <v>18</v>
      </c>
      <c r="K840" t="s">
        <v>35</v>
      </c>
      <c r="L840">
        <v>7</v>
      </c>
      <c r="M840" t="s">
        <v>76</v>
      </c>
    </row>
    <row r="841" spans="1:13" x14ac:dyDescent="0.35">
      <c r="A841" t="s">
        <v>898</v>
      </c>
      <c r="B841" t="s">
        <v>26</v>
      </c>
      <c r="C841" t="s">
        <v>73</v>
      </c>
      <c r="D841" t="s">
        <v>70</v>
      </c>
      <c r="E841">
        <v>13478</v>
      </c>
      <c r="F841">
        <v>11492</v>
      </c>
      <c r="G841" s="16" t="s">
        <v>17</v>
      </c>
      <c r="H841" s="3">
        <v>45432</v>
      </c>
      <c r="I841" s="3">
        <v>45440</v>
      </c>
      <c r="J841" t="s">
        <v>50</v>
      </c>
      <c r="K841" t="s">
        <v>43</v>
      </c>
      <c r="L841">
        <v>8</v>
      </c>
      <c r="M841" t="s">
        <v>31</v>
      </c>
    </row>
    <row r="842" spans="1:13" x14ac:dyDescent="0.35">
      <c r="A842" t="s">
        <v>899</v>
      </c>
      <c r="B842" t="s">
        <v>53</v>
      </c>
      <c r="C842" t="s">
        <v>15</v>
      </c>
      <c r="D842" t="s">
        <v>55</v>
      </c>
      <c r="E842">
        <v>36961</v>
      </c>
      <c r="F842">
        <v>35529</v>
      </c>
      <c r="G842" s="16" t="s">
        <v>17</v>
      </c>
      <c r="H842" s="3">
        <v>45349</v>
      </c>
      <c r="I842" s="3">
        <v>45355</v>
      </c>
      <c r="J842" t="s">
        <v>50</v>
      </c>
      <c r="K842" t="s">
        <v>35</v>
      </c>
      <c r="L842">
        <v>6</v>
      </c>
      <c r="M842" t="s">
        <v>20</v>
      </c>
    </row>
    <row r="843" spans="1:13" x14ac:dyDescent="0.35">
      <c r="A843" t="s">
        <v>900</v>
      </c>
      <c r="B843" t="s">
        <v>26</v>
      </c>
      <c r="C843" t="s">
        <v>38</v>
      </c>
      <c r="D843" t="s">
        <v>61</v>
      </c>
      <c r="E843">
        <v>25789</v>
      </c>
      <c r="F843">
        <v>24324</v>
      </c>
      <c r="G843" s="16" t="s">
        <v>17</v>
      </c>
      <c r="H843" s="3">
        <v>45480</v>
      </c>
      <c r="I843" s="3">
        <v>45485</v>
      </c>
      <c r="J843" t="s">
        <v>18</v>
      </c>
      <c r="K843" t="s">
        <v>56</v>
      </c>
      <c r="L843">
        <v>5</v>
      </c>
      <c r="M843" t="s">
        <v>85</v>
      </c>
    </row>
    <row r="844" spans="1:13" x14ac:dyDescent="0.35">
      <c r="A844" t="s">
        <v>901</v>
      </c>
      <c r="B844" t="s">
        <v>53</v>
      </c>
      <c r="C844" t="s">
        <v>15</v>
      </c>
      <c r="D844" t="s">
        <v>23</v>
      </c>
      <c r="E844">
        <v>47264</v>
      </c>
      <c r="F844">
        <v>46746</v>
      </c>
      <c r="G844" s="16" t="s">
        <v>17</v>
      </c>
      <c r="H844" s="3">
        <v>45574</v>
      </c>
      <c r="I844" s="3">
        <v>45581</v>
      </c>
      <c r="J844" t="s">
        <v>50</v>
      </c>
      <c r="K844" t="s">
        <v>56</v>
      </c>
      <c r="L844">
        <v>7</v>
      </c>
      <c r="M844" t="s">
        <v>76</v>
      </c>
    </row>
    <row r="845" spans="1:13" x14ac:dyDescent="0.35">
      <c r="A845" t="s">
        <v>902</v>
      </c>
      <c r="B845" t="s">
        <v>41</v>
      </c>
      <c r="C845" t="s">
        <v>15</v>
      </c>
      <c r="D845" t="s">
        <v>28</v>
      </c>
      <c r="E845">
        <v>30993</v>
      </c>
      <c r="F845">
        <v>30977</v>
      </c>
      <c r="G845" s="16" t="s">
        <v>17</v>
      </c>
      <c r="H845" s="3">
        <v>45493</v>
      </c>
      <c r="I845" s="3">
        <v>45498</v>
      </c>
      <c r="J845" t="s">
        <v>50</v>
      </c>
      <c r="K845" t="s">
        <v>47</v>
      </c>
      <c r="L845">
        <v>5</v>
      </c>
      <c r="M845" t="s">
        <v>85</v>
      </c>
    </row>
    <row r="846" spans="1:13" x14ac:dyDescent="0.35">
      <c r="A846" t="s">
        <v>903</v>
      </c>
      <c r="B846" t="s">
        <v>26</v>
      </c>
      <c r="C846" t="s">
        <v>38</v>
      </c>
      <c r="D846" t="s">
        <v>28</v>
      </c>
      <c r="E846">
        <v>12500</v>
      </c>
      <c r="F846">
        <v>11207</v>
      </c>
      <c r="G846" s="16" t="s">
        <v>17</v>
      </c>
      <c r="H846" s="3">
        <v>45454</v>
      </c>
      <c r="I846" s="3">
        <v>45461</v>
      </c>
      <c r="J846" t="s">
        <v>18</v>
      </c>
      <c r="K846" t="s">
        <v>43</v>
      </c>
      <c r="L846">
        <v>7</v>
      </c>
      <c r="M846" t="s">
        <v>36</v>
      </c>
    </row>
    <row r="847" spans="1:13" x14ac:dyDescent="0.35">
      <c r="A847" t="s">
        <v>904</v>
      </c>
      <c r="B847" t="s">
        <v>14</v>
      </c>
      <c r="C847" t="s">
        <v>64</v>
      </c>
      <c r="D847" t="s">
        <v>55</v>
      </c>
      <c r="E847">
        <v>29063</v>
      </c>
      <c r="F847">
        <v>27594</v>
      </c>
      <c r="G847" s="16" t="s">
        <v>17</v>
      </c>
      <c r="H847" s="3">
        <v>45508</v>
      </c>
      <c r="I847" s="3">
        <v>45510</v>
      </c>
      <c r="J847" t="s">
        <v>18</v>
      </c>
      <c r="K847" t="s">
        <v>56</v>
      </c>
      <c r="L847">
        <v>2</v>
      </c>
      <c r="M847" t="s">
        <v>44</v>
      </c>
    </row>
    <row r="848" spans="1:13" x14ac:dyDescent="0.35">
      <c r="A848" t="s">
        <v>905</v>
      </c>
      <c r="B848" t="s">
        <v>96</v>
      </c>
      <c r="C848" t="s">
        <v>15</v>
      </c>
      <c r="D848" t="s">
        <v>34</v>
      </c>
      <c r="E848">
        <v>29582</v>
      </c>
      <c r="F848">
        <v>0</v>
      </c>
      <c r="G848" s="16" t="s">
        <v>29</v>
      </c>
      <c r="H848" s="3">
        <v>45572</v>
      </c>
      <c r="I848" s="3"/>
      <c r="J848" t="s">
        <v>50</v>
      </c>
      <c r="K848" t="s">
        <v>35</v>
      </c>
      <c r="M848" t="s">
        <v>76</v>
      </c>
    </row>
    <row r="849" spans="1:13" x14ac:dyDescent="0.35">
      <c r="A849" t="s">
        <v>906</v>
      </c>
      <c r="B849" t="s">
        <v>60</v>
      </c>
      <c r="C849" t="s">
        <v>15</v>
      </c>
      <c r="D849" t="s">
        <v>61</v>
      </c>
      <c r="E849">
        <v>43297</v>
      </c>
      <c r="F849">
        <v>41677</v>
      </c>
      <c r="G849" s="16" t="s">
        <v>17</v>
      </c>
      <c r="H849" s="3">
        <v>45620</v>
      </c>
      <c r="I849" s="3">
        <v>45623</v>
      </c>
      <c r="J849" t="s">
        <v>18</v>
      </c>
      <c r="K849" t="s">
        <v>35</v>
      </c>
      <c r="L849">
        <v>3</v>
      </c>
      <c r="M849" t="s">
        <v>48</v>
      </c>
    </row>
    <row r="850" spans="1:13" x14ac:dyDescent="0.35">
      <c r="A850" t="s">
        <v>907</v>
      </c>
      <c r="B850" t="s">
        <v>26</v>
      </c>
      <c r="C850" t="s">
        <v>38</v>
      </c>
      <c r="D850" t="s">
        <v>34</v>
      </c>
      <c r="E850">
        <v>39736</v>
      </c>
      <c r="F850">
        <v>39510</v>
      </c>
      <c r="G850" s="16" t="s">
        <v>17</v>
      </c>
      <c r="H850" s="3">
        <v>45372</v>
      </c>
      <c r="I850" s="3">
        <v>45376</v>
      </c>
      <c r="J850" t="s">
        <v>18</v>
      </c>
      <c r="K850" t="s">
        <v>30</v>
      </c>
      <c r="L850">
        <v>4</v>
      </c>
      <c r="M850" t="s">
        <v>67</v>
      </c>
    </row>
    <row r="851" spans="1:13" x14ac:dyDescent="0.35">
      <c r="A851" t="s">
        <v>908</v>
      </c>
      <c r="B851" t="s">
        <v>53</v>
      </c>
      <c r="C851" t="s">
        <v>27</v>
      </c>
      <c r="D851" t="s">
        <v>34</v>
      </c>
      <c r="E851">
        <v>31588</v>
      </c>
      <c r="F851">
        <v>29800</v>
      </c>
      <c r="G851" s="16" t="s">
        <v>17</v>
      </c>
      <c r="H851" s="3">
        <v>45360</v>
      </c>
      <c r="I851" s="3">
        <v>45365</v>
      </c>
      <c r="J851" t="s">
        <v>18</v>
      </c>
      <c r="K851" t="s">
        <v>56</v>
      </c>
      <c r="L851">
        <v>5</v>
      </c>
      <c r="M851" t="s">
        <v>67</v>
      </c>
    </row>
    <row r="852" spans="1:13" x14ac:dyDescent="0.35">
      <c r="A852" t="s">
        <v>909</v>
      </c>
      <c r="B852" t="s">
        <v>53</v>
      </c>
      <c r="C852" t="s">
        <v>38</v>
      </c>
      <c r="D852" t="s">
        <v>16</v>
      </c>
      <c r="E852">
        <v>15019</v>
      </c>
      <c r="F852">
        <v>14171</v>
      </c>
      <c r="G852" s="16" t="s">
        <v>17</v>
      </c>
      <c r="H852" s="3">
        <v>45480</v>
      </c>
      <c r="I852" s="3">
        <v>45483</v>
      </c>
      <c r="J852" t="s">
        <v>50</v>
      </c>
      <c r="K852" t="s">
        <v>35</v>
      </c>
      <c r="L852">
        <v>3</v>
      </c>
      <c r="M852" t="s">
        <v>85</v>
      </c>
    </row>
    <row r="853" spans="1:13" x14ac:dyDescent="0.35">
      <c r="A853" t="s">
        <v>910</v>
      </c>
      <c r="B853" t="s">
        <v>53</v>
      </c>
      <c r="C853" t="s">
        <v>46</v>
      </c>
      <c r="D853" t="s">
        <v>23</v>
      </c>
      <c r="E853">
        <v>3505</v>
      </c>
      <c r="F853">
        <v>0</v>
      </c>
      <c r="G853" s="16" t="s">
        <v>29</v>
      </c>
      <c r="H853" s="3">
        <v>45623</v>
      </c>
      <c r="I853" s="3"/>
      <c r="J853" t="s">
        <v>18</v>
      </c>
      <c r="K853" t="s">
        <v>47</v>
      </c>
      <c r="M853" t="s">
        <v>48</v>
      </c>
    </row>
    <row r="854" spans="1:13" x14ac:dyDescent="0.35">
      <c r="A854" t="s">
        <v>911</v>
      </c>
      <c r="B854" t="s">
        <v>72</v>
      </c>
      <c r="C854" t="s">
        <v>46</v>
      </c>
      <c r="D854" t="s">
        <v>16</v>
      </c>
      <c r="E854">
        <v>47957</v>
      </c>
      <c r="F854">
        <v>47856</v>
      </c>
      <c r="G854" s="16" t="s">
        <v>17</v>
      </c>
      <c r="H854" s="3">
        <v>45497</v>
      </c>
      <c r="I854" s="3">
        <v>45507</v>
      </c>
      <c r="J854" t="s">
        <v>50</v>
      </c>
      <c r="K854" t="s">
        <v>19</v>
      </c>
      <c r="L854">
        <v>10</v>
      </c>
      <c r="M854" t="s">
        <v>85</v>
      </c>
    </row>
    <row r="855" spans="1:13" x14ac:dyDescent="0.35">
      <c r="A855" t="s">
        <v>912</v>
      </c>
      <c r="B855" t="s">
        <v>96</v>
      </c>
      <c r="C855" t="s">
        <v>73</v>
      </c>
      <c r="D855" t="s">
        <v>70</v>
      </c>
      <c r="E855">
        <v>26112</v>
      </c>
      <c r="F855">
        <v>24173</v>
      </c>
      <c r="G855" s="16" t="s">
        <v>17</v>
      </c>
      <c r="H855" s="3">
        <v>45582</v>
      </c>
      <c r="I855" s="3">
        <v>45584</v>
      </c>
      <c r="J855" t="s">
        <v>18</v>
      </c>
      <c r="K855" t="s">
        <v>56</v>
      </c>
      <c r="L855">
        <v>2</v>
      </c>
      <c r="M855" t="s">
        <v>76</v>
      </c>
    </row>
    <row r="856" spans="1:13" x14ac:dyDescent="0.35">
      <c r="A856" t="s">
        <v>913</v>
      </c>
      <c r="B856" t="s">
        <v>79</v>
      </c>
      <c r="C856" t="s">
        <v>27</v>
      </c>
      <c r="D856" t="s">
        <v>55</v>
      </c>
      <c r="E856">
        <v>46145</v>
      </c>
      <c r="F856">
        <v>45903</v>
      </c>
      <c r="G856" s="16" t="s">
        <v>17</v>
      </c>
      <c r="H856" s="3">
        <v>45406</v>
      </c>
      <c r="I856" s="3">
        <v>45410</v>
      </c>
      <c r="J856" t="s">
        <v>18</v>
      </c>
      <c r="K856" t="s">
        <v>30</v>
      </c>
      <c r="L856">
        <v>4</v>
      </c>
      <c r="M856" t="s">
        <v>51</v>
      </c>
    </row>
    <row r="857" spans="1:13" x14ac:dyDescent="0.35">
      <c r="A857" t="s">
        <v>914</v>
      </c>
      <c r="B857" t="s">
        <v>96</v>
      </c>
      <c r="C857" t="s">
        <v>38</v>
      </c>
      <c r="D857" t="s">
        <v>55</v>
      </c>
      <c r="E857">
        <v>27039</v>
      </c>
      <c r="F857">
        <v>26156</v>
      </c>
      <c r="G857" s="16" t="s">
        <v>17</v>
      </c>
      <c r="H857" s="3">
        <v>45397</v>
      </c>
      <c r="I857" s="3">
        <v>45407</v>
      </c>
      <c r="J857" t="s">
        <v>18</v>
      </c>
      <c r="K857" t="s">
        <v>30</v>
      </c>
      <c r="L857">
        <v>10</v>
      </c>
      <c r="M857" t="s">
        <v>51</v>
      </c>
    </row>
    <row r="858" spans="1:13" x14ac:dyDescent="0.35">
      <c r="A858" t="s">
        <v>915</v>
      </c>
      <c r="B858" t="s">
        <v>96</v>
      </c>
      <c r="C858" t="s">
        <v>46</v>
      </c>
      <c r="D858" t="s">
        <v>58</v>
      </c>
      <c r="E858">
        <v>13820</v>
      </c>
      <c r="F858">
        <v>12198</v>
      </c>
      <c r="G858" s="16" t="s">
        <v>17</v>
      </c>
      <c r="H858" s="3">
        <v>45366</v>
      </c>
      <c r="I858" s="3">
        <v>45367</v>
      </c>
      <c r="J858" t="s">
        <v>50</v>
      </c>
      <c r="K858" t="s">
        <v>43</v>
      </c>
      <c r="L858">
        <v>1</v>
      </c>
      <c r="M858" t="s">
        <v>67</v>
      </c>
    </row>
    <row r="859" spans="1:13" x14ac:dyDescent="0.35">
      <c r="A859" t="s">
        <v>916</v>
      </c>
      <c r="B859" t="s">
        <v>26</v>
      </c>
      <c r="C859" t="s">
        <v>64</v>
      </c>
      <c r="D859" t="s">
        <v>28</v>
      </c>
      <c r="E859">
        <v>26224</v>
      </c>
      <c r="F859">
        <v>0</v>
      </c>
      <c r="G859" s="16" t="s">
        <v>29</v>
      </c>
      <c r="H859" s="3">
        <v>45642</v>
      </c>
      <c r="I859" s="3"/>
      <c r="J859" t="s">
        <v>50</v>
      </c>
      <c r="K859" t="s">
        <v>47</v>
      </c>
      <c r="M859" t="s">
        <v>62</v>
      </c>
    </row>
    <row r="860" spans="1:13" x14ac:dyDescent="0.35">
      <c r="A860" t="s">
        <v>917</v>
      </c>
      <c r="B860" t="s">
        <v>60</v>
      </c>
      <c r="C860" t="s">
        <v>64</v>
      </c>
      <c r="D860" t="s">
        <v>61</v>
      </c>
      <c r="E860">
        <v>23184</v>
      </c>
      <c r="F860">
        <v>21778</v>
      </c>
      <c r="G860" s="16" t="s">
        <v>17</v>
      </c>
      <c r="H860" s="3">
        <v>45400</v>
      </c>
      <c r="I860" s="3">
        <v>45407</v>
      </c>
      <c r="J860" t="s">
        <v>50</v>
      </c>
      <c r="K860" t="s">
        <v>56</v>
      </c>
      <c r="L860">
        <v>7</v>
      </c>
      <c r="M860" t="s">
        <v>51</v>
      </c>
    </row>
    <row r="861" spans="1:13" x14ac:dyDescent="0.35">
      <c r="A861" t="s">
        <v>918</v>
      </c>
      <c r="B861" t="s">
        <v>53</v>
      </c>
      <c r="C861" t="s">
        <v>38</v>
      </c>
      <c r="D861" t="s">
        <v>70</v>
      </c>
      <c r="E861">
        <v>8244</v>
      </c>
      <c r="F861">
        <v>0</v>
      </c>
      <c r="G861" s="16" t="s">
        <v>29</v>
      </c>
      <c r="H861" s="3">
        <v>45322</v>
      </c>
      <c r="I861" s="3"/>
      <c r="J861" t="s">
        <v>18</v>
      </c>
      <c r="K861" t="s">
        <v>43</v>
      </c>
      <c r="M861" t="s">
        <v>39</v>
      </c>
    </row>
    <row r="862" spans="1:13" x14ac:dyDescent="0.35">
      <c r="A862" t="s">
        <v>919</v>
      </c>
      <c r="B862" t="s">
        <v>26</v>
      </c>
      <c r="C862" t="s">
        <v>64</v>
      </c>
      <c r="D862" t="s">
        <v>34</v>
      </c>
      <c r="E862">
        <v>41739</v>
      </c>
      <c r="F862">
        <v>0</v>
      </c>
      <c r="G862" s="16" t="s">
        <v>29</v>
      </c>
      <c r="H862" s="3">
        <v>45655</v>
      </c>
      <c r="I862" s="3"/>
      <c r="J862" t="s">
        <v>18</v>
      </c>
      <c r="K862" t="s">
        <v>47</v>
      </c>
      <c r="M862" t="s">
        <v>62</v>
      </c>
    </row>
    <row r="863" spans="1:13" x14ac:dyDescent="0.35">
      <c r="A863" t="s">
        <v>920</v>
      </c>
      <c r="B863" t="s">
        <v>96</v>
      </c>
      <c r="C863" t="s">
        <v>27</v>
      </c>
      <c r="D863" t="s">
        <v>16</v>
      </c>
      <c r="E863">
        <v>27866</v>
      </c>
      <c r="F863">
        <v>27596</v>
      </c>
      <c r="G863" s="16" t="s">
        <v>17</v>
      </c>
      <c r="H863" s="3">
        <v>45578</v>
      </c>
      <c r="I863" s="3">
        <v>45579</v>
      </c>
      <c r="J863" t="s">
        <v>18</v>
      </c>
      <c r="K863" t="s">
        <v>43</v>
      </c>
      <c r="L863">
        <v>1</v>
      </c>
      <c r="M863" t="s">
        <v>76</v>
      </c>
    </row>
    <row r="864" spans="1:13" x14ac:dyDescent="0.35">
      <c r="A864" t="s">
        <v>921</v>
      </c>
      <c r="B864" t="s">
        <v>33</v>
      </c>
      <c r="C864" t="s">
        <v>64</v>
      </c>
      <c r="D864" t="s">
        <v>34</v>
      </c>
      <c r="E864">
        <v>32676</v>
      </c>
      <c r="F864">
        <v>32493</v>
      </c>
      <c r="G864" s="16" t="s">
        <v>17</v>
      </c>
      <c r="H864" s="3">
        <v>45454</v>
      </c>
      <c r="I864" s="3">
        <v>45463</v>
      </c>
      <c r="J864" t="s">
        <v>50</v>
      </c>
      <c r="K864" t="s">
        <v>47</v>
      </c>
      <c r="L864">
        <v>9</v>
      </c>
      <c r="M864" t="s">
        <v>36</v>
      </c>
    </row>
    <row r="865" spans="1:13" x14ac:dyDescent="0.35">
      <c r="A865" t="s">
        <v>922</v>
      </c>
      <c r="B865" t="s">
        <v>96</v>
      </c>
      <c r="C865" t="s">
        <v>15</v>
      </c>
      <c r="D865" t="s">
        <v>34</v>
      </c>
      <c r="E865">
        <v>4894</v>
      </c>
      <c r="F865">
        <v>3872</v>
      </c>
      <c r="G865" s="16" t="s">
        <v>17</v>
      </c>
      <c r="H865" s="3">
        <v>45435</v>
      </c>
      <c r="I865" s="3">
        <v>45441</v>
      </c>
      <c r="J865" t="s">
        <v>50</v>
      </c>
      <c r="K865" t="s">
        <v>43</v>
      </c>
      <c r="L865">
        <v>6</v>
      </c>
      <c r="M865" t="s">
        <v>31</v>
      </c>
    </row>
    <row r="866" spans="1:13" x14ac:dyDescent="0.35">
      <c r="A866" t="s">
        <v>923</v>
      </c>
      <c r="B866" t="s">
        <v>96</v>
      </c>
      <c r="C866" t="s">
        <v>38</v>
      </c>
      <c r="D866" t="s">
        <v>34</v>
      </c>
      <c r="E866">
        <v>30558</v>
      </c>
      <c r="F866">
        <v>29912</v>
      </c>
      <c r="G866" s="16" t="s">
        <v>17</v>
      </c>
      <c r="H866" s="3">
        <v>45543</v>
      </c>
      <c r="I866" s="3">
        <v>45546</v>
      </c>
      <c r="J866" t="s">
        <v>50</v>
      </c>
      <c r="K866" t="s">
        <v>47</v>
      </c>
      <c r="L866">
        <v>3</v>
      </c>
      <c r="M866" t="s">
        <v>24</v>
      </c>
    </row>
    <row r="867" spans="1:13" x14ac:dyDescent="0.35">
      <c r="A867" t="s">
        <v>924</v>
      </c>
      <c r="B867" t="s">
        <v>26</v>
      </c>
      <c r="C867" t="s">
        <v>73</v>
      </c>
      <c r="D867" t="s">
        <v>23</v>
      </c>
      <c r="E867">
        <v>17064</v>
      </c>
      <c r="F867">
        <v>16991</v>
      </c>
      <c r="G867" s="16" t="s">
        <v>17</v>
      </c>
      <c r="H867" s="3">
        <v>45532</v>
      </c>
      <c r="I867" s="3">
        <v>45537</v>
      </c>
      <c r="J867" t="s">
        <v>18</v>
      </c>
      <c r="K867" t="s">
        <v>56</v>
      </c>
      <c r="L867">
        <v>5</v>
      </c>
      <c r="M867" t="s">
        <v>44</v>
      </c>
    </row>
    <row r="868" spans="1:13" x14ac:dyDescent="0.35">
      <c r="A868" t="s">
        <v>925</v>
      </c>
      <c r="B868" t="s">
        <v>72</v>
      </c>
      <c r="C868" t="s">
        <v>27</v>
      </c>
      <c r="D868" t="s">
        <v>70</v>
      </c>
      <c r="E868">
        <v>34434</v>
      </c>
      <c r="F868">
        <v>33530</v>
      </c>
      <c r="G868" s="16" t="s">
        <v>17</v>
      </c>
      <c r="H868" s="3">
        <v>45474</v>
      </c>
      <c r="I868" s="3">
        <v>45483</v>
      </c>
      <c r="J868" t="s">
        <v>50</v>
      </c>
      <c r="K868" t="s">
        <v>35</v>
      </c>
      <c r="L868">
        <v>9</v>
      </c>
      <c r="M868" t="s">
        <v>85</v>
      </c>
    </row>
    <row r="869" spans="1:13" x14ac:dyDescent="0.35">
      <c r="A869" t="s">
        <v>926</v>
      </c>
      <c r="B869" t="s">
        <v>72</v>
      </c>
      <c r="C869" t="s">
        <v>15</v>
      </c>
      <c r="D869" t="s">
        <v>61</v>
      </c>
      <c r="E869">
        <v>10103</v>
      </c>
      <c r="F869">
        <v>9912</v>
      </c>
      <c r="G869" s="16" t="s">
        <v>17</v>
      </c>
      <c r="H869" s="3">
        <v>45396</v>
      </c>
      <c r="I869" s="3">
        <v>45401</v>
      </c>
      <c r="J869" t="s">
        <v>18</v>
      </c>
      <c r="K869" t="s">
        <v>30</v>
      </c>
      <c r="L869">
        <v>5</v>
      </c>
      <c r="M869" t="s">
        <v>51</v>
      </c>
    </row>
    <row r="870" spans="1:13" x14ac:dyDescent="0.35">
      <c r="A870" t="s">
        <v>927</v>
      </c>
      <c r="B870" t="s">
        <v>33</v>
      </c>
      <c r="C870" t="s">
        <v>38</v>
      </c>
      <c r="D870" t="s">
        <v>28</v>
      </c>
      <c r="E870">
        <v>40243</v>
      </c>
      <c r="F870">
        <v>39166</v>
      </c>
      <c r="G870" s="16" t="s">
        <v>17</v>
      </c>
      <c r="H870" s="3">
        <v>45584</v>
      </c>
      <c r="I870" s="3">
        <v>45587</v>
      </c>
      <c r="J870" t="s">
        <v>50</v>
      </c>
      <c r="K870" t="s">
        <v>47</v>
      </c>
      <c r="L870">
        <v>3</v>
      </c>
      <c r="M870" t="s">
        <v>76</v>
      </c>
    </row>
    <row r="871" spans="1:13" x14ac:dyDescent="0.35">
      <c r="A871" t="s">
        <v>928</v>
      </c>
      <c r="B871" t="s">
        <v>26</v>
      </c>
      <c r="C871" t="s">
        <v>64</v>
      </c>
      <c r="D871" t="s">
        <v>70</v>
      </c>
      <c r="E871">
        <v>23538</v>
      </c>
      <c r="F871">
        <v>22956</v>
      </c>
      <c r="G871" s="16" t="s">
        <v>17</v>
      </c>
      <c r="H871" s="3">
        <v>45640</v>
      </c>
      <c r="I871" s="3">
        <v>45642</v>
      </c>
      <c r="J871" t="s">
        <v>50</v>
      </c>
      <c r="K871" t="s">
        <v>43</v>
      </c>
      <c r="L871">
        <v>2</v>
      </c>
      <c r="M871" t="s">
        <v>62</v>
      </c>
    </row>
    <row r="872" spans="1:13" x14ac:dyDescent="0.35">
      <c r="A872" t="s">
        <v>929</v>
      </c>
      <c r="B872" t="s">
        <v>53</v>
      </c>
      <c r="C872" t="s">
        <v>15</v>
      </c>
      <c r="D872" t="s">
        <v>34</v>
      </c>
      <c r="E872">
        <v>12077</v>
      </c>
      <c r="F872">
        <v>11911</v>
      </c>
      <c r="G872" s="16" t="s">
        <v>17</v>
      </c>
      <c r="H872" s="3">
        <v>45527</v>
      </c>
      <c r="I872" s="3">
        <v>45535</v>
      </c>
      <c r="J872" t="s">
        <v>50</v>
      </c>
      <c r="K872" t="s">
        <v>56</v>
      </c>
      <c r="L872">
        <v>8</v>
      </c>
      <c r="M872" t="s">
        <v>44</v>
      </c>
    </row>
    <row r="873" spans="1:13" x14ac:dyDescent="0.35">
      <c r="A873" t="s">
        <v>930</v>
      </c>
      <c r="B873" t="s">
        <v>96</v>
      </c>
      <c r="C873" t="s">
        <v>15</v>
      </c>
      <c r="D873" t="s">
        <v>34</v>
      </c>
      <c r="E873">
        <v>4873</v>
      </c>
      <c r="F873">
        <v>0</v>
      </c>
      <c r="G873" s="16" t="s">
        <v>29</v>
      </c>
      <c r="H873" s="3">
        <v>45523</v>
      </c>
      <c r="I873" s="3"/>
      <c r="J873" t="s">
        <v>50</v>
      </c>
      <c r="K873" t="s">
        <v>56</v>
      </c>
      <c r="M873" t="s">
        <v>44</v>
      </c>
    </row>
    <row r="874" spans="1:13" x14ac:dyDescent="0.35">
      <c r="A874" t="s">
        <v>931</v>
      </c>
      <c r="B874" t="s">
        <v>53</v>
      </c>
      <c r="C874" t="s">
        <v>73</v>
      </c>
      <c r="D874" t="s">
        <v>28</v>
      </c>
      <c r="E874">
        <v>5190</v>
      </c>
      <c r="F874">
        <v>4529</v>
      </c>
      <c r="G874" s="16" t="s">
        <v>17</v>
      </c>
      <c r="H874" s="3">
        <v>45320</v>
      </c>
      <c r="I874" s="3">
        <v>45322</v>
      </c>
      <c r="J874" t="s">
        <v>50</v>
      </c>
      <c r="K874" t="s">
        <v>47</v>
      </c>
      <c r="L874">
        <v>2</v>
      </c>
      <c r="M874" t="s">
        <v>39</v>
      </c>
    </row>
    <row r="875" spans="1:13" x14ac:dyDescent="0.35">
      <c r="A875" t="s">
        <v>932</v>
      </c>
      <c r="B875" t="s">
        <v>22</v>
      </c>
      <c r="C875" t="s">
        <v>38</v>
      </c>
      <c r="D875" t="s">
        <v>61</v>
      </c>
      <c r="E875">
        <v>17733</v>
      </c>
      <c r="F875">
        <v>17551</v>
      </c>
      <c r="G875" s="16" t="s">
        <v>17</v>
      </c>
      <c r="H875" s="3">
        <v>45302</v>
      </c>
      <c r="I875" s="3">
        <v>45306</v>
      </c>
      <c r="J875" t="s">
        <v>18</v>
      </c>
      <c r="K875" t="s">
        <v>35</v>
      </c>
      <c r="L875">
        <v>4</v>
      </c>
      <c r="M875" t="s">
        <v>39</v>
      </c>
    </row>
    <row r="876" spans="1:13" x14ac:dyDescent="0.35">
      <c r="A876" t="s">
        <v>933</v>
      </c>
      <c r="B876" t="s">
        <v>22</v>
      </c>
      <c r="C876" t="s">
        <v>38</v>
      </c>
      <c r="D876" t="s">
        <v>61</v>
      </c>
      <c r="E876">
        <v>9903</v>
      </c>
      <c r="F876">
        <v>8898</v>
      </c>
      <c r="G876" s="16" t="s">
        <v>17</v>
      </c>
      <c r="H876" s="3">
        <v>45513</v>
      </c>
      <c r="I876" s="3">
        <v>45518</v>
      </c>
      <c r="J876" t="s">
        <v>18</v>
      </c>
      <c r="K876" t="s">
        <v>43</v>
      </c>
      <c r="L876">
        <v>5</v>
      </c>
      <c r="M876" t="s">
        <v>44</v>
      </c>
    </row>
    <row r="877" spans="1:13" x14ac:dyDescent="0.35">
      <c r="A877" t="s">
        <v>934</v>
      </c>
      <c r="B877" t="s">
        <v>14</v>
      </c>
      <c r="C877" t="s">
        <v>38</v>
      </c>
      <c r="D877" t="s">
        <v>28</v>
      </c>
      <c r="E877">
        <v>34087</v>
      </c>
      <c r="F877">
        <v>32274</v>
      </c>
      <c r="G877" s="16" t="s">
        <v>17</v>
      </c>
      <c r="H877" s="3">
        <v>45490</v>
      </c>
      <c r="I877" s="3">
        <v>45498</v>
      </c>
      <c r="J877" t="s">
        <v>50</v>
      </c>
      <c r="K877" t="s">
        <v>19</v>
      </c>
      <c r="L877">
        <v>8</v>
      </c>
      <c r="M877" t="s">
        <v>85</v>
      </c>
    </row>
    <row r="878" spans="1:13" x14ac:dyDescent="0.35">
      <c r="A878" t="s">
        <v>935</v>
      </c>
      <c r="B878" t="s">
        <v>53</v>
      </c>
      <c r="C878" t="s">
        <v>27</v>
      </c>
      <c r="D878" t="s">
        <v>70</v>
      </c>
      <c r="E878">
        <v>29691</v>
      </c>
      <c r="F878">
        <v>28434</v>
      </c>
      <c r="G878" s="16" t="s">
        <v>17</v>
      </c>
      <c r="H878" s="3">
        <v>45387</v>
      </c>
      <c r="I878" s="3">
        <v>45394</v>
      </c>
      <c r="J878" t="s">
        <v>50</v>
      </c>
      <c r="K878" t="s">
        <v>47</v>
      </c>
      <c r="L878">
        <v>7</v>
      </c>
      <c r="M878" t="s">
        <v>51</v>
      </c>
    </row>
    <row r="879" spans="1:13" x14ac:dyDescent="0.35">
      <c r="A879" t="s">
        <v>936</v>
      </c>
      <c r="B879" t="s">
        <v>60</v>
      </c>
      <c r="C879" t="s">
        <v>38</v>
      </c>
      <c r="D879" t="s">
        <v>55</v>
      </c>
      <c r="E879">
        <v>46331</v>
      </c>
      <c r="F879">
        <v>45005</v>
      </c>
      <c r="G879" s="16" t="s">
        <v>17</v>
      </c>
      <c r="H879" s="3">
        <v>45643</v>
      </c>
      <c r="I879" s="3">
        <v>45646</v>
      </c>
      <c r="J879" t="s">
        <v>50</v>
      </c>
      <c r="K879" t="s">
        <v>19</v>
      </c>
      <c r="L879">
        <v>3</v>
      </c>
      <c r="M879" t="s">
        <v>62</v>
      </c>
    </row>
    <row r="880" spans="1:13" x14ac:dyDescent="0.35">
      <c r="A880" t="s">
        <v>937</v>
      </c>
      <c r="B880" t="s">
        <v>79</v>
      </c>
      <c r="C880" t="s">
        <v>15</v>
      </c>
      <c r="D880" t="s">
        <v>16</v>
      </c>
      <c r="E880">
        <v>32685</v>
      </c>
      <c r="F880">
        <v>32523</v>
      </c>
      <c r="G880" s="16" t="s">
        <v>17</v>
      </c>
      <c r="H880" s="3">
        <v>45536</v>
      </c>
      <c r="I880" s="3">
        <v>45541</v>
      </c>
      <c r="J880" t="s">
        <v>18</v>
      </c>
      <c r="K880" t="s">
        <v>47</v>
      </c>
      <c r="L880">
        <v>5</v>
      </c>
      <c r="M880" t="s">
        <v>24</v>
      </c>
    </row>
    <row r="881" spans="1:13" x14ac:dyDescent="0.35">
      <c r="A881" t="s">
        <v>938</v>
      </c>
      <c r="B881" t="s">
        <v>96</v>
      </c>
      <c r="C881" t="s">
        <v>46</v>
      </c>
      <c r="D881" t="s">
        <v>58</v>
      </c>
      <c r="E881">
        <v>21364</v>
      </c>
      <c r="F881">
        <v>0</v>
      </c>
      <c r="G881" s="16" t="s">
        <v>29</v>
      </c>
      <c r="H881" s="3">
        <v>45316</v>
      </c>
      <c r="I881" s="3"/>
      <c r="J881" t="s">
        <v>18</v>
      </c>
      <c r="K881" t="s">
        <v>47</v>
      </c>
      <c r="M881" t="s">
        <v>39</v>
      </c>
    </row>
    <row r="882" spans="1:13" x14ac:dyDescent="0.35">
      <c r="A882" t="s">
        <v>939</v>
      </c>
      <c r="B882" t="s">
        <v>79</v>
      </c>
      <c r="C882" t="s">
        <v>15</v>
      </c>
      <c r="D882" t="s">
        <v>58</v>
      </c>
      <c r="E882">
        <v>29067</v>
      </c>
      <c r="F882">
        <v>28116</v>
      </c>
      <c r="G882" s="16" t="s">
        <v>17</v>
      </c>
      <c r="H882" s="3">
        <v>45630</v>
      </c>
      <c r="I882" s="3">
        <v>45640</v>
      </c>
      <c r="J882" t="s">
        <v>50</v>
      </c>
      <c r="K882" t="s">
        <v>43</v>
      </c>
      <c r="L882">
        <v>10</v>
      </c>
      <c r="M882" t="s">
        <v>62</v>
      </c>
    </row>
    <row r="883" spans="1:13" x14ac:dyDescent="0.35">
      <c r="A883" t="s">
        <v>940</v>
      </c>
      <c r="B883" t="s">
        <v>96</v>
      </c>
      <c r="C883" t="s">
        <v>15</v>
      </c>
      <c r="D883" t="s">
        <v>23</v>
      </c>
      <c r="E883">
        <v>9466</v>
      </c>
      <c r="F883">
        <v>9099</v>
      </c>
      <c r="G883" s="16" t="s">
        <v>17</v>
      </c>
      <c r="H883" s="3">
        <v>45385</v>
      </c>
      <c r="I883" s="3">
        <v>45392</v>
      </c>
      <c r="J883" t="s">
        <v>18</v>
      </c>
      <c r="K883" t="s">
        <v>47</v>
      </c>
      <c r="L883">
        <v>7</v>
      </c>
      <c r="M883" t="s">
        <v>51</v>
      </c>
    </row>
    <row r="884" spans="1:13" x14ac:dyDescent="0.35">
      <c r="A884" t="s">
        <v>941</v>
      </c>
      <c r="B884" t="s">
        <v>22</v>
      </c>
      <c r="C884" t="s">
        <v>38</v>
      </c>
      <c r="D884" t="s">
        <v>34</v>
      </c>
      <c r="E884">
        <v>40483</v>
      </c>
      <c r="F884">
        <v>38932</v>
      </c>
      <c r="G884" s="16" t="s">
        <v>17</v>
      </c>
      <c r="H884" s="3">
        <v>45635</v>
      </c>
      <c r="I884" s="3">
        <v>45643</v>
      </c>
      <c r="J884" t="s">
        <v>50</v>
      </c>
      <c r="K884" t="s">
        <v>43</v>
      </c>
      <c r="L884">
        <v>8</v>
      </c>
      <c r="M884" t="s">
        <v>62</v>
      </c>
    </row>
    <row r="885" spans="1:13" x14ac:dyDescent="0.35">
      <c r="A885" t="s">
        <v>942</v>
      </c>
      <c r="B885" t="s">
        <v>33</v>
      </c>
      <c r="C885" t="s">
        <v>46</v>
      </c>
      <c r="D885" t="s">
        <v>61</v>
      </c>
      <c r="E885">
        <v>7126</v>
      </c>
      <c r="F885">
        <v>0</v>
      </c>
      <c r="G885" s="16" t="s">
        <v>29</v>
      </c>
      <c r="H885" s="3">
        <v>45424</v>
      </c>
      <c r="I885" s="3"/>
      <c r="J885" t="s">
        <v>18</v>
      </c>
      <c r="K885" t="s">
        <v>35</v>
      </c>
      <c r="M885" t="s">
        <v>31</v>
      </c>
    </row>
    <row r="886" spans="1:13" x14ac:dyDescent="0.35">
      <c r="A886" t="s">
        <v>943</v>
      </c>
      <c r="B886" t="s">
        <v>79</v>
      </c>
      <c r="C886" t="s">
        <v>15</v>
      </c>
      <c r="D886" t="s">
        <v>23</v>
      </c>
      <c r="E886">
        <v>27882</v>
      </c>
      <c r="F886">
        <v>27855</v>
      </c>
      <c r="G886" s="16" t="s">
        <v>17</v>
      </c>
      <c r="H886" s="3">
        <v>45379</v>
      </c>
      <c r="I886" s="3">
        <v>45387</v>
      </c>
      <c r="J886" t="s">
        <v>50</v>
      </c>
      <c r="K886" t="s">
        <v>56</v>
      </c>
      <c r="L886">
        <v>8</v>
      </c>
      <c r="M886" t="s">
        <v>67</v>
      </c>
    </row>
    <row r="887" spans="1:13" x14ac:dyDescent="0.35">
      <c r="A887" t="s">
        <v>944</v>
      </c>
      <c r="B887" t="s">
        <v>22</v>
      </c>
      <c r="C887" t="s">
        <v>64</v>
      </c>
      <c r="D887" t="s">
        <v>16</v>
      </c>
      <c r="E887">
        <v>42533</v>
      </c>
      <c r="F887">
        <v>0</v>
      </c>
      <c r="G887" s="16" t="s">
        <v>29</v>
      </c>
      <c r="H887" s="3">
        <v>45476</v>
      </c>
      <c r="I887" s="3"/>
      <c r="J887" t="s">
        <v>50</v>
      </c>
      <c r="K887" t="s">
        <v>30</v>
      </c>
      <c r="M887" t="s">
        <v>85</v>
      </c>
    </row>
    <row r="888" spans="1:13" x14ac:dyDescent="0.35">
      <c r="A888" t="s">
        <v>945</v>
      </c>
      <c r="B888" t="s">
        <v>96</v>
      </c>
      <c r="C888" t="s">
        <v>15</v>
      </c>
      <c r="D888" t="s">
        <v>61</v>
      </c>
      <c r="E888">
        <v>10854</v>
      </c>
      <c r="F888">
        <v>10464</v>
      </c>
      <c r="G888" s="16" t="s">
        <v>17</v>
      </c>
      <c r="H888" s="3">
        <v>45349</v>
      </c>
      <c r="I888" s="3">
        <v>45350</v>
      </c>
      <c r="J888" t="s">
        <v>18</v>
      </c>
      <c r="K888" t="s">
        <v>30</v>
      </c>
      <c r="L888">
        <v>1</v>
      </c>
      <c r="M888" t="s">
        <v>20</v>
      </c>
    </row>
    <row r="889" spans="1:13" x14ac:dyDescent="0.35">
      <c r="A889" t="s">
        <v>946</v>
      </c>
      <c r="B889" t="s">
        <v>60</v>
      </c>
      <c r="C889" t="s">
        <v>46</v>
      </c>
      <c r="D889" t="s">
        <v>55</v>
      </c>
      <c r="E889">
        <v>44508</v>
      </c>
      <c r="F889">
        <v>43178</v>
      </c>
      <c r="G889" s="16" t="s">
        <v>17</v>
      </c>
      <c r="H889" s="3">
        <v>45415</v>
      </c>
      <c r="I889" s="3">
        <v>45422</v>
      </c>
      <c r="J889" t="s">
        <v>18</v>
      </c>
      <c r="K889" t="s">
        <v>47</v>
      </c>
      <c r="L889">
        <v>7</v>
      </c>
      <c r="M889" t="s">
        <v>31</v>
      </c>
    </row>
    <row r="890" spans="1:13" x14ac:dyDescent="0.35">
      <c r="A890" t="s">
        <v>947</v>
      </c>
      <c r="B890" t="s">
        <v>96</v>
      </c>
      <c r="C890" t="s">
        <v>64</v>
      </c>
      <c r="D890" t="s">
        <v>61</v>
      </c>
      <c r="E890">
        <v>33063</v>
      </c>
      <c r="F890">
        <v>33019</v>
      </c>
      <c r="G890" s="16" t="s">
        <v>17</v>
      </c>
      <c r="H890" s="3">
        <v>45351</v>
      </c>
      <c r="I890" s="3">
        <v>45354</v>
      </c>
      <c r="J890" t="s">
        <v>18</v>
      </c>
      <c r="K890" t="s">
        <v>56</v>
      </c>
      <c r="L890">
        <v>3</v>
      </c>
      <c r="M890" t="s">
        <v>20</v>
      </c>
    </row>
    <row r="891" spans="1:13" x14ac:dyDescent="0.35">
      <c r="A891" t="s">
        <v>948</v>
      </c>
      <c r="B891" t="s">
        <v>72</v>
      </c>
      <c r="C891" t="s">
        <v>64</v>
      </c>
      <c r="D891" t="s">
        <v>55</v>
      </c>
      <c r="E891">
        <v>3286</v>
      </c>
      <c r="F891">
        <v>2088</v>
      </c>
      <c r="G891" s="16" t="s">
        <v>17</v>
      </c>
      <c r="H891" s="3">
        <v>45416</v>
      </c>
      <c r="I891" s="3">
        <v>45420</v>
      </c>
      <c r="J891" t="s">
        <v>50</v>
      </c>
      <c r="K891" t="s">
        <v>19</v>
      </c>
      <c r="L891">
        <v>4</v>
      </c>
      <c r="M891" t="s">
        <v>31</v>
      </c>
    </row>
    <row r="892" spans="1:13" x14ac:dyDescent="0.35">
      <c r="A892" t="s">
        <v>949</v>
      </c>
      <c r="B892" t="s">
        <v>22</v>
      </c>
      <c r="C892" t="s">
        <v>15</v>
      </c>
      <c r="D892" t="s">
        <v>34</v>
      </c>
      <c r="E892">
        <v>2516</v>
      </c>
      <c r="F892">
        <v>1225</v>
      </c>
      <c r="G892" s="16" t="s">
        <v>17</v>
      </c>
      <c r="H892" s="3">
        <v>45657</v>
      </c>
      <c r="I892" s="3">
        <v>45664</v>
      </c>
      <c r="J892" t="s">
        <v>50</v>
      </c>
      <c r="K892" t="s">
        <v>30</v>
      </c>
      <c r="L892">
        <v>7</v>
      </c>
      <c r="M892" t="s">
        <v>62</v>
      </c>
    </row>
    <row r="893" spans="1:13" x14ac:dyDescent="0.35">
      <c r="A893" t="s">
        <v>950</v>
      </c>
      <c r="B893" t="s">
        <v>72</v>
      </c>
      <c r="C893" t="s">
        <v>38</v>
      </c>
      <c r="D893" t="s">
        <v>23</v>
      </c>
      <c r="E893">
        <v>33948</v>
      </c>
      <c r="F893">
        <v>32953</v>
      </c>
      <c r="G893" s="16" t="s">
        <v>17</v>
      </c>
      <c r="H893" s="3">
        <v>45554</v>
      </c>
      <c r="I893" s="3">
        <v>45564</v>
      </c>
      <c r="J893" t="s">
        <v>50</v>
      </c>
      <c r="K893" t="s">
        <v>47</v>
      </c>
      <c r="L893">
        <v>10</v>
      </c>
      <c r="M893" t="s">
        <v>24</v>
      </c>
    </row>
    <row r="894" spans="1:13" x14ac:dyDescent="0.35">
      <c r="A894" t="s">
        <v>951</v>
      </c>
      <c r="B894" t="s">
        <v>60</v>
      </c>
      <c r="C894" t="s">
        <v>15</v>
      </c>
      <c r="D894" t="s">
        <v>58</v>
      </c>
      <c r="E894">
        <v>39775</v>
      </c>
      <c r="F894">
        <v>38642</v>
      </c>
      <c r="G894" s="16" t="s">
        <v>17</v>
      </c>
      <c r="H894" s="3">
        <v>45324</v>
      </c>
      <c r="I894" s="3">
        <v>45329</v>
      </c>
      <c r="J894" t="s">
        <v>50</v>
      </c>
      <c r="K894" t="s">
        <v>35</v>
      </c>
      <c r="L894">
        <v>5</v>
      </c>
      <c r="M894" t="s">
        <v>20</v>
      </c>
    </row>
    <row r="895" spans="1:13" x14ac:dyDescent="0.35">
      <c r="A895" t="s">
        <v>952</v>
      </c>
      <c r="B895" t="s">
        <v>14</v>
      </c>
      <c r="C895" t="s">
        <v>64</v>
      </c>
      <c r="D895" t="s">
        <v>34</v>
      </c>
      <c r="E895">
        <v>31381</v>
      </c>
      <c r="F895">
        <v>31339</v>
      </c>
      <c r="G895" s="16" t="s">
        <v>17</v>
      </c>
      <c r="H895" s="3">
        <v>45374</v>
      </c>
      <c r="I895" s="3">
        <v>45379</v>
      </c>
      <c r="J895" t="s">
        <v>18</v>
      </c>
      <c r="K895" t="s">
        <v>35</v>
      </c>
      <c r="L895">
        <v>5</v>
      </c>
      <c r="M895" t="s">
        <v>67</v>
      </c>
    </row>
    <row r="896" spans="1:13" x14ac:dyDescent="0.35">
      <c r="A896" t="s">
        <v>953</v>
      </c>
      <c r="B896" t="s">
        <v>41</v>
      </c>
      <c r="C896" t="s">
        <v>64</v>
      </c>
      <c r="D896" t="s">
        <v>28</v>
      </c>
      <c r="E896">
        <v>35268</v>
      </c>
      <c r="F896">
        <v>34065</v>
      </c>
      <c r="G896" s="16" t="s">
        <v>17</v>
      </c>
      <c r="H896" s="3">
        <v>45642</v>
      </c>
      <c r="I896" s="3">
        <v>45648</v>
      </c>
      <c r="J896" t="s">
        <v>50</v>
      </c>
      <c r="K896" t="s">
        <v>47</v>
      </c>
      <c r="L896">
        <v>6</v>
      </c>
      <c r="M896" t="s">
        <v>62</v>
      </c>
    </row>
    <row r="897" spans="1:13" x14ac:dyDescent="0.35">
      <c r="A897" t="s">
        <v>954</v>
      </c>
      <c r="B897" t="s">
        <v>96</v>
      </c>
      <c r="C897" t="s">
        <v>27</v>
      </c>
      <c r="D897" t="s">
        <v>58</v>
      </c>
      <c r="E897">
        <v>46112</v>
      </c>
      <c r="F897">
        <v>44482</v>
      </c>
      <c r="G897" s="16" t="s">
        <v>17</v>
      </c>
      <c r="H897" s="3">
        <v>45533</v>
      </c>
      <c r="I897" s="3">
        <v>45536</v>
      </c>
      <c r="J897" t="s">
        <v>18</v>
      </c>
      <c r="K897" t="s">
        <v>43</v>
      </c>
      <c r="L897">
        <v>3</v>
      </c>
      <c r="M897" t="s">
        <v>44</v>
      </c>
    </row>
    <row r="898" spans="1:13" x14ac:dyDescent="0.35">
      <c r="A898" t="s">
        <v>955</v>
      </c>
      <c r="B898" t="s">
        <v>14</v>
      </c>
      <c r="C898" t="s">
        <v>64</v>
      </c>
      <c r="D898" t="s">
        <v>61</v>
      </c>
      <c r="E898">
        <v>13356</v>
      </c>
      <c r="F898">
        <v>13036</v>
      </c>
      <c r="G898" s="16" t="s">
        <v>17</v>
      </c>
      <c r="H898" s="3">
        <v>45602</v>
      </c>
      <c r="I898" s="3">
        <v>45610</v>
      </c>
      <c r="J898" t="s">
        <v>18</v>
      </c>
      <c r="K898" t="s">
        <v>30</v>
      </c>
      <c r="L898">
        <v>8</v>
      </c>
      <c r="M898" t="s">
        <v>48</v>
      </c>
    </row>
    <row r="899" spans="1:13" x14ac:dyDescent="0.35">
      <c r="A899" t="s">
        <v>956</v>
      </c>
      <c r="B899" t="s">
        <v>22</v>
      </c>
      <c r="C899" t="s">
        <v>64</v>
      </c>
      <c r="D899" t="s">
        <v>16</v>
      </c>
      <c r="E899">
        <v>17382</v>
      </c>
      <c r="F899">
        <v>16242</v>
      </c>
      <c r="G899" s="16" t="s">
        <v>17</v>
      </c>
      <c r="H899" s="3">
        <v>45316</v>
      </c>
      <c r="I899" s="3">
        <v>45317</v>
      </c>
      <c r="J899" t="s">
        <v>50</v>
      </c>
      <c r="K899" t="s">
        <v>43</v>
      </c>
      <c r="L899">
        <v>1</v>
      </c>
      <c r="M899" t="s">
        <v>39</v>
      </c>
    </row>
    <row r="900" spans="1:13" x14ac:dyDescent="0.35">
      <c r="A900" t="s">
        <v>957</v>
      </c>
      <c r="B900" t="s">
        <v>41</v>
      </c>
      <c r="C900" t="s">
        <v>73</v>
      </c>
      <c r="D900" t="s">
        <v>61</v>
      </c>
      <c r="E900">
        <v>34995</v>
      </c>
      <c r="F900">
        <v>33343</v>
      </c>
      <c r="G900" s="16" t="s">
        <v>17</v>
      </c>
      <c r="H900" s="3">
        <v>45324</v>
      </c>
      <c r="I900" s="3">
        <v>45330</v>
      </c>
      <c r="J900" t="s">
        <v>50</v>
      </c>
      <c r="K900" t="s">
        <v>47</v>
      </c>
      <c r="L900">
        <v>6</v>
      </c>
      <c r="M900" t="s">
        <v>20</v>
      </c>
    </row>
    <row r="901" spans="1:13" x14ac:dyDescent="0.35">
      <c r="A901" t="s">
        <v>958</v>
      </c>
      <c r="B901" t="s">
        <v>53</v>
      </c>
      <c r="C901" t="s">
        <v>46</v>
      </c>
      <c r="D901" t="s">
        <v>70</v>
      </c>
      <c r="E901">
        <v>38830</v>
      </c>
      <c r="F901">
        <v>37834</v>
      </c>
      <c r="G901" s="16" t="s">
        <v>17</v>
      </c>
      <c r="H901" s="3">
        <v>45424</v>
      </c>
      <c r="I901" s="3">
        <v>45430</v>
      </c>
      <c r="J901" t="s">
        <v>50</v>
      </c>
      <c r="K901" t="s">
        <v>30</v>
      </c>
      <c r="L901">
        <v>6</v>
      </c>
      <c r="M901" t="s">
        <v>31</v>
      </c>
    </row>
    <row r="902" spans="1:13" x14ac:dyDescent="0.35">
      <c r="A902" t="s">
        <v>959</v>
      </c>
      <c r="B902" t="s">
        <v>60</v>
      </c>
      <c r="C902" t="s">
        <v>38</v>
      </c>
      <c r="D902" t="s">
        <v>61</v>
      </c>
      <c r="E902">
        <v>47228</v>
      </c>
      <c r="F902">
        <v>0</v>
      </c>
      <c r="G902" s="16" t="s">
        <v>29</v>
      </c>
      <c r="H902" s="3">
        <v>45601</v>
      </c>
      <c r="I902" s="3"/>
      <c r="J902" t="s">
        <v>18</v>
      </c>
      <c r="K902" t="s">
        <v>56</v>
      </c>
      <c r="M902" t="s">
        <v>48</v>
      </c>
    </row>
    <row r="903" spans="1:13" x14ac:dyDescent="0.35">
      <c r="A903" t="s">
        <v>960</v>
      </c>
      <c r="B903" t="s">
        <v>60</v>
      </c>
      <c r="C903" t="s">
        <v>64</v>
      </c>
      <c r="D903" t="s">
        <v>55</v>
      </c>
      <c r="E903">
        <v>9269</v>
      </c>
      <c r="F903">
        <v>7669</v>
      </c>
      <c r="G903" s="16" t="s">
        <v>17</v>
      </c>
      <c r="H903" s="3">
        <v>45604</v>
      </c>
      <c r="I903" s="3">
        <v>45614</v>
      </c>
      <c r="J903" t="s">
        <v>18</v>
      </c>
      <c r="K903" t="s">
        <v>30</v>
      </c>
      <c r="L903">
        <v>10</v>
      </c>
      <c r="M903" t="s">
        <v>48</v>
      </c>
    </row>
    <row r="904" spans="1:13" x14ac:dyDescent="0.35">
      <c r="A904" t="s">
        <v>961</v>
      </c>
      <c r="B904" t="s">
        <v>79</v>
      </c>
      <c r="C904" t="s">
        <v>15</v>
      </c>
      <c r="D904" t="s">
        <v>70</v>
      </c>
      <c r="E904">
        <v>12947</v>
      </c>
      <c r="F904">
        <v>11164</v>
      </c>
      <c r="G904" s="16" t="s">
        <v>17</v>
      </c>
      <c r="H904" s="3">
        <v>45397</v>
      </c>
      <c r="I904" s="3">
        <v>45403</v>
      </c>
      <c r="J904" t="s">
        <v>18</v>
      </c>
      <c r="K904" t="s">
        <v>56</v>
      </c>
      <c r="L904">
        <v>6</v>
      </c>
      <c r="M904" t="s">
        <v>51</v>
      </c>
    </row>
    <row r="905" spans="1:13" x14ac:dyDescent="0.35">
      <c r="A905" t="s">
        <v>962</v>
      </c>
      <c r="B905" t="s">
        <v>96</v>
      </c>
      <c r="C905" t="s">
        <v>64</v>
      </c>
      <c r="D905" t="s">
        <v>55</v>
      </c>
      <c r="E905">
        <v>8507</v>
      </c>
      <c r="F905">
        <v>7182</v>
      </c>
      <c r="G905" s="16" t="s">
        <v>17</v>
      </c>
      <c r="H905" s="3">
        <v>45478</v>
      </c>
      <c r="I905" s="3">
        <v>45484</v>
      </c>
      <c r="J905" t="s">
        <v>18</v>
      </c>
      <c r="K905" t="s">
        <v>47</v>
      </c>
      <c r="L905">
        <v>6</v>
      </c>
      <c r="M905" t="s">
        <v>85</v>
      </c>
    </row>
    <row r="906" spans="1:13" x14ac:dyDescent="0.35">
      <c r="A906" t="s">
        <v>963</v>
      </c>
      <c r="B906" t="s">
        <v>26</v>
      </c>
      <c r="C906" t="s">
        <v>64</v>
      </c>
      <c r="D906" t="s">
        <v>58</v>
      </c>
      <c r="E906">
        <v>2431</v>
      </c>
      <c r="F906">
        <v>722</v>
      </c>
      <c r="G906" s="16" t="s">
        <v>17</v>
      </c>
      <c r="H906" s="3">
        <v>45534</v>
      </c>
      <c r="I906" s="3">
        <v>45540</v>
      </c>
      <c r="J906" t="s">
        <v>50</v>
      </c>
      <c r="K906" t="s">
        <v>19</v>
      </c>
      <c r="L906">
        <v>6</v>
      </c>
      <c r="M906" t="s">
        <v>44</v>
      </c>
    </row>
    <row r="907" spans="1:13" x14ac:dyDescent="0.35">
      <c r="A907" t="s">
        <v>964</v>
      </c>
      <c r="B907" t="s">
        <v>33</v>
      </c>
      <c r="C907" t="s">
        <v>15</v>
      </c>
      <c r="D907" t="s">
        <v>16</v>
      </c>
      <c r="E907">
        <v>26407</v>
      </c>
      <c r="F907">
        <v>25669</v>
      </c>
      <c r="G907" s="16" t="s">
        <v>17</v>
      </c>
      <c r="H907" s="3">
        <v>45614</v>
      </c>
      <c r="I907" s="3">
        <v>45618</v>
      </c>
      <c r="J907" t="s">
        <v>18</v>
      </c>
      <c r="K907" t="s">
        <v>30</v>
      </c>
      <c r="L907">
        <v>4</v>
      </c>
      <c r="M907" t="s">
        <v>48</v>
      </c>
    </row>
    <row r="908" spans="1:13" x14ac:dyDescent="0.35">
      <c r="A908" t="s">
        <v>965</v>
      </c>
      <c r="B908" t="s">
        <v>79</v>
      </c>
      <c r="C908" t="s">
        <v>27</v>
      </c>
      <c r="D908" t="s">
        <v>28</v>
      </c>
      <c r="E908">
        <v>11043</v>
      </c>
      <c r="F908">
        <v>10197</v>
      </c>
      <c r="G908" s="16" t="s">
        <v>17</v>
      </c>
      <c r="H908" s="3">
        <v>45501</v>
      </c>
      <c r="I908" s="3">
        <v>45509</v>
      </c>
      <c r="J908" t="s">
        <v>50</v>
      </c>
      <c r="K908" t="s">
        <v>47</v>
      </c>
      <c r="L908">
        <v>8</v>
      </c>
      <c r="M908" t="s">
        <v>85</v>
      </c>
    </row>
    <row r="909" spans="1:13" x14ac:dyDescent="0.35">
      <c r="A909" t="s">
        <v>966</v>
      </c>
      <c r="B909" t="s">
        <v>72</v>
      </c>
      <c r="C909" t="s">
        <v>73</v>
      </c>
      <c r="D909" t="s">
        <v>23</v>
      </c>
      <c r="E909">
        <v>49030</v>
      </c>
      <c r="F909">
        <v>0</v>
      </c>
      <c r="G909" s="16" t="s">
        <v>29</v>
      </c>
      <c r="H909" s="3">
        <v>45327</v>
      </c>
      <c r="I909" s="3"/>
      <c r="J909" t="s">
        <v>18</v>
      </c>
      <c r="K909" t="s">
        <v>43</v>
      </c>
      <c r="M909" t="s">
        <v>20</v>
      </c>
    </row>
    <row r="910" spans="1:13" x14ac:dyDescent="0.35">
      <c r="A910" t="s">
        <v>967</v>
      </c>
      <c r="B910" t="s">
        <v>41</v>
      </c>
      <c r="C910" t="s">
        <v>27</v>
      </c>
      <c r="D910" t="s">
        <v>61</v>
      </c>
      <c r="E910">
        <v>30447</v>
      </c>
      <c r="F910">
        <v>29642</v>
      </c>
      <c r="G910" s="16" t="s">
        <v>17</v>
      </c>
      <c r="H910" s="3">
        <v>45310</v>
      </c>
      <c r="I910" s="3">
        <v>45313</v>
      </c>
      <c r="J910" t="s">
        <v>18</v>
      </c>
      <c r="K910" t="s">
        <v>56</v>
      </c>
      <c r="L910">
        <v>3</v>
      </c>
      <c r="M910" t="s">
        <v>39</v>
      </c>
    </row>
    <row r="911" spans="1:13" x14ac:dyDescent="0.35">
      <c r="A911" t="s">
        <v>968</v>
      </c>
      <c r="B911" t="s">
        <v>79</v>
      </c>
      <c r="C911" t="s">
        <v>38</v>
      </c>
      <c r="D911" t="s">
        <v>58</v>
      </c>
      <c r="E911">
        <v>28345</v>
      </c>
      <c r="F911">
        <v>0</v>
      </c>
      <c r="G911" s="16" t="s">
        <v>29</v>
      </c>
      <c r="H911" s="3">
        <v>45447</v>
      </c>
      <c r="I911" s="3"/>
      <c r="J911" t="s">
        <v>50</v>
      </c>
      <c r="K911" t="s">
        <v>43</v>
      </c>
      <c r="M911" t="s">
        <v>36</v>
      </c>
    </row>
    <row r="912" spans="1:13" x14ac:dyDescent="0.35">
      <c r="A912" t="s">
        <v>969</v>
      </c>
      <c r="B912" t="s">
        <v>60</v>
      </c>
      <c r="C912" t="s">
        <v>38</v>
      </c>
      <c r="D912" t="s">
        <v>61</v>
      </c>
      <c r="E912">
        <v>47894</v>
      </c>
      <c r="F912">
        <v>46981</v>
      </c>
      <c r="G912" s="16" t="s">
        <v>17</v>
      </c>
      <c r="H912" s="3">
        <v>45621</v>
      </c>
      <c r="I912" s="3">
        <v>45625</v>
      </c>
      <c r="J912" t="s">
        <v>50</v>
      </c>
      <c r="K912" t="s">
        <v>56</v>
      </c>
      <c r="L912">
        <v>4</v>
      </c>
      <c r="M912" t="s">
        <v>48</v>
      </c>
    </row>
    <row r="913" spans="1:13" x14ac:dyDescent="0.35">
      <c r="A913" t="s">
        <v>970</v>
      </c>
      <c r="B913" t="s">
        <v>41</v>
      </c>
      <c r="C913" t="s">
        <v>27</v>
      </c>
      <c r="D913" t="s">
        <v>28</v>
      </c>
      <c r="E913">
        <v>21761</v>
      </c>
      <c r="F913">
        <v>21686</v>
      </c>
      <c r="G913" s="16" t="s">
        <v>17</v>
      </c>
      <c r="H913" s="3">
        <v>45567</v>
      </c>
      <c r="I913" s="3">
        <v>45573</v>
      </c>
      <c r="J913" t="s">
        <v>50</v>
      </c>
      <c r="K913" t="s">
        <v>56</v>
      </c>
      <c r="L913">
        <v>6</v>
      </c>
      <c r="M913" t="s">
        <v>76</v>
      </c>
    </row>
    <row r="914" spans="1:13" x14ac:dyDescent="0.35">
      <c r="A914" t="s">
        <v>971</v>
      </c>
      <c r="B914" t="s">
        <v>33</v>
      </c>
      <c r="C914" t="s">
        <v>38</v>
      </c>
      <c r="D914" t="s">
        <v>28</v>
      </c>
      <c r="E914">
        <v>8083</v>
      </c>
      <c r="F914">
        <v>0</v>
      </c>
      <c r="G914" s="16" t="s">
        <v>29</v>
      </c>
      <c r="H914" s="3">
        <v>45574</v>
      </c>
      <c r="I914" s="3"/>
      <c r="J914" t="s">
        <v>50</v>
      </c>
      <c r="K914" t="s">
        <v>19</v>
      </c>
      <c r="M914" t="s">
        <v>76</v>
      </c>
    </row>
    <row r="915" spans="1:13" x14ac:dyDescent="0.35">
      <c r="A915" t="s">
        <v>972</v>
      </c>
      <c r="B915" t="s">
        <v>41</v>
      </c>
      <c r="C915" t="s">
        <v>73</v>
      </c>
      <c r="D915" t="s">
        <v>23</v>
      </c>
      <c r="E915">
        <v>3827</v>
      </c>
      <c r="F915">
        <v>0</v>
      </c>
      <c r="G915" s="16" t="s">
        <v>29</v>
      </c>
      <c r="H915" s="3">
        <v>45595</v>
      </c>
      <c r="I915" s="3"/>
      <c r="J915" t="s">
        <v>50</v>
      </c>
      <c r="K915" t="s">
        <v>47</v>
      </c>
      <c r="M915" t="s">
        <v>76</v>
      </c>
    </row>
    <row r="916" spans="1:13" x14ac:dyDescent="0.35">
      <c r="A916" t="s">
        <v>973</v>
      </c>
      <c r="B916" t="s">
        <v>96</v>
      </c>
      <c r="C916" t="s">
        <v>27</v>
      </c>
      <c r="D916" t="s">
        <v>70</v>
      </c>
      <c r="E916">
        <v>49971</v>
      </c>
      <c r="F916">
        <v>48248</v>
      </c>
      <c r="G916" s="16" t="s">
        <v>17</v>
      </c>
      <c r="H916" s="3">
        <v>45482</v>
      </c>
      <c r="I916" s="3">
        <v>45487</v>
      </c>
      <c r="J916" t="s">
        <v>50</v>
      </c>
      <c r="K916" t="s">
        <v>47</v>
      </c>
      <c r="L916">
        <v>5</v>
      </c>
      <c r="M916" t="s">
        <v>85</v>
      </c>
    </row>
    <row r="917" spans="1:13" x14ac:dyDescent="0.35">
      <c r="A917" t="s">
        <v>974</v>
      </c>
      <c r="B917" t="s">
        <v>60</v>
      </c>
      <c r="C917" t="s">
        <v>15</v>
      </c>
      <c r="D917" t="s">
        <v>55</v>
      </c>
      <c r="E917">
        <v>21527</v>
      </c>
      <c r="F917">
        <v>0</v>
      </c>
      <c r="G917" s="16" t="s">
        <v>29</v>
      </c>
      <c r="H917" s="3">
        <v>45294</v>
      </c>
      <c r="I917" s="3"/>
      <c r="J917" t="s">
        <v>50</v>
      </c>
      <c r="K917" t="s">
        <v>43</v>
      </c>
      <c r="M917" t="s">
        <v>39</v>
      </c>
    </row>
    <row r="918" spans="1:13" x14ac:dyDescent="0.35">
      <c r="A918" t="s">
        <v>975</v>
      </c>
      <c r="B918" t="s">
        <v>26</v>
      </c>
      <c r="C918" t="s">
        <v>46</v>
      </c>
      <c r="D918" t="s">
        <v>34</v>
      </c>
      <c r="E918">
        <v>21608</v>
      </c>
      <c r="F918">
        <v>20243</v>
      </c>
      <c r="G918" s="16" t="s">
        <v>17</v>
      </c>
      <c r="H918" s="3">
        <v>45585</v>
      </c>
      <c r="I918" s="3">
        <v>45588</v>
      </c>
      <c r="J918" t="s">
        <v>50</v>
      </c>
      <c r="K918" t="s">
        <v>19</v>
      </c>
      <c r="L918">
        <v>3</v>
      </c>
      <c r="M918" t="s">
        <v>76</v>
      </c>
    </row>
    <row r="919" spans="1:13" x14ac:dyDescent="0.35">
      <c r="A919" t="s">
        <v>976</v>
      </c>
      <c r="B919" t="s">
        <v>26</v>
      </c>
      <c r="C919" t="s">
        <v>15</v>
      </c>
      <c r="D919" t="s">
        <v>34</v>
      </c>
      <c r="E919">
        <v>35846</v>
      </c>
      <c r="F919">
        <v>0</v>
      </c>
      <c r="G919" s="16" t="s">
        <v>29</v>
      </c>
      <c r="H919" s="3">
        <v>45390</v>
      </c>
      <c r="I919" s="3"/>
      <c r="J919" t="s">
        <v>50</v>
      </c>
      <c r="K919" t="s">
        <v>35</v>
      </c>
      <c r="M919" t="s">
        <v>51</v>
      </c>
    </row>
    <row r="920" spans="1:13" x14ac:dyDescent="0.35">
      <c r="A920" t="s">
        <v>977</v>
      </c>
      <c r="B920" t="s">
        <v>14</v>
      </c>
      <c r="C920" t="s">
        <v>73</v>
      </c>
      <c r="D920" t="s">
        <v>58</v>
      </c>
      <c r="E920">
        <v>29004</v>
      </c>
      <c r="F920">
        <v>28816</v>
      </c>
      <c r="G920" s="16" t="s">
        <v>17</v>
      </c>
      <c r="H920" s="3">
        <v>45323</v>
      </c>
      <c r="I920" s="3">
        <v>45330</v>
      </c>
      <c r="J920" t="s">
        <v>18</v>
      </c>
      <c r="K920" t="s">
        <v>35</v>
      </c>
      <c r="L920">
        <v>7</v>
      </c>
      <c r="M920" t="s">
        <v>20</v>
      </c>
    </row>
    <row r="921" spans="1:13" x14ac:dyDescent="0.35">
      <c r="A921" t="s">
        <v>978</v>
      </c>
      <c r="B921" t="s">
        <v>26</v>
      </c>
      <c r="C921" t="s">
        <v>64</v>
      </c>
      <c r="D921" t="s">
        <v>70</v>
      </c>
      <c r="E921">
        <v>26202</v>
      </c>
      <c r="F921">
        <v>0</v>
      </c>
      <c r="G921" s="16" t="s">
        <v>29</v>
      </c>
      <c r="H921" s="3">
        <v>45498</v>
      </c>
      <c r="I921" s="3"/>
      <c r="J921" t="s">
        <v>50</v>
      </c>
      <c r="K921" t="s">
        <v>30</v>
      </c>
      <c r="M921" t="s">
        <v>85</v>
      </c>
    </row>
    <row r="922" spans="1:13" x14ac:dyDescent="0.35">
      <c r="A922" t="s">
        <v>979</v>
      </c>
      <c r="B922" t="s">
        <v>96</v>
      </c>
      <c r="C922" t="s">
        <v>64</v>
      </c>
      <c r="D922" t="s">
        <v>58</v>
      </c>
      <c r="E922">
        <v>30841</v>
      </c>
      <c r="F922">
        <v>29343</v>
      </c>
      <c r="G922" s="16" t="s">
        <v>17</v>
      </c>
      <c r="H922" s="3">
        <v>45505</v>
      </c>
      <c r="I922" s="3">
        <v>45508</v>
      </c>
      <c r="J922" t="s">
        <v>18</v>
      </c>
      <c r="K922" t="s">
        <v>19</v>
      </c>
      <c r="L922">
        <v>3</v>
      </c>
      <c r="M922" t="s">
        <v>44</v>
      </c>
    </row>
    <row r="923" spans="1:13" x14ac:dyDescent="0.35">
      <c r="A923" t="s">
        <v>980</v>
      </c>
      <c r="B923" t="s">
        <v>33</v>
      </c>
      <c r="C923" t="s">
        <v>64</v>
      </c>
      <c r="D923" t="s">
        <v>55</v>
      </c>
      <c r="E923">
        <v>10479</v>
      </c>
      <c r="F923">
        <v>0</v>
      </c>
      <c r="G923" s="16" t="s">
        <v>29</v>
      </c>
      <c r="H923" s="3">
        <v>45562</v>
      </c>
      <c r="I923" s="3"/>
      <c r="J923" t="s">
        <v>18</v>
      </c>
      <c r="K923" t="s">
        <v>56</v>
      </c>
      <c r="M923" t="s">
        <v>24</v>
      </c>
    </row>
    <row r="924" spans="1:13" x14ac:dyDescent="0.35">
      <c r="A924" t="s">
        <v>981</v>
      </c>
      <c r="B924" t="s">
        <v>26</v>
      </c>
      <c r="C924" t="s">
        <v>64</v>
      </c>
      <c r="D924" t="s">
        <v>55</v>
      </c>
      <c r="E924">
        <v>4136</v>
      </c>
      <c r="F924">
        <v>2203</v>
      </c>
      <c r="G924" s="16" t="s">
        <v>17</v>
      </c>
      <c r="H924" s="3">
        <v>45578</v>
      </c>
      <c r="I924" s="3">
        <v>45584</v>
      </c>
      <c r="J924" t="s">
        <v>18</v>
      </c>
      <c r="K924" t="s">
        <v>19</v>
      </c>
      <c r="L924">
        <v>6</v>
      </c>
      <c r="M924" t="s">
        <v>76</v>
      </c>
    </row>
    <row r="925" spans="1:13" x14ac:dyDescent="0.35">
      <c r="A925" t="s">
        <v>982</v>
      </c>
      <c r="B925" t="s">
        <v>22</v>
      </c>
      <c r="C925" t="s">
        <v>15</v>
      </c>
      <c r="D925" t="s">
        <v>70</v>
      </c>
      <c r="E925">
        <v>26221</v>
      </c>
      <c r="F925">
        <v>0</v>
      </c>
      <c r="G925" s="16" t="s">
        <v>29</v>
      </c>
      <c r="H925" s="3">
        <v>45440</v>
      </c>
      <c r="I925" s="3"/>
      <c r="J925" t="s">
        <v>18</v>
      </c>
      <c r="K925" t="s">
        <v>19</v>
      </c>
      <c r="M925" t="s">
        <v>31</v>
      </c>
    </row>
    <row r="926" spans="1:13" x14ac:dyDescent="0.35">
      <c r="A926" t="s">
        <v>983</v>
      </c>
      <c r="B926" t="s">
        <v>33</v>
      </c>
      <c r="C926" t="s">
        <v>15</v>
      </c>
      <c r="D926" t="s">
        <v>34</v>
      </c>
      <c r="E926">
        <v>21983</v>
      </c>
      <c r="F926">
        <v>21362</v>
      </c>
      <c r="G926" s="16" t="s">
        <v>17</v>
      </c>
      <c r="H926" s="3">
        <v>45442</v>
      </c>
      <c r="I926" s="3">
        <v>45450</v>
      </c>
      <c r="J926" t="s">
        <v>18</v>
      </c>
      <c r="K926" t="s">
        <v>30</v>
      </c>
      <c r="L926">
        <v>8</v>
      </c>
      <c r="M926" t="s">
        <v>31</v>
      </c>
    </row>
    <row r="927" spans="1:13" x14ac:dyDescent="0.35">
      <c r="A927" t="s">
        <v>984</v>
      </c>
      <c r="B927" t="s">
        <v>33</v>
      </c>
      <c r="C927" t="s">
        <v>73</v>
      </c>
      <c r="D927" t="s">
        <v>58</v>
      </c>
      <c r="E927">
        <v>5188</v>
      </c>
      <c r="F927">
        <v>3368</v>
      </c>
      <c r="G927" s="16" t="s">
        <v>17</v>
      </c>
      <c r="H927" s="3">
        <v>45437</v>
      </c>
      <c r="I927" s="3">
        <v>45441</v>
      </c>
      <c r="J927" t="s">
        <v>18</v>
      </c>
      <c r="K927" t="s">
        <v>30</v>
      </c>
      <c r="L927">
        <v>4</v>
      </c>
      <c r="M927" t="s">
        <v>31</v>
      </c>
    </row>
    <row r="928" spans="1:13" x14ac:dyDescent="0.35">
      <c r="A928" t="s">
        <v>985</v>
      </c>
      <c r="B928" t="s">
        <v>72</v>
      </c>
      <c r="C928" t="s">
        <v>15</v>
      </c>
      <c r="D928" t="s">
        <v>70</v>
      </c>
      <c r="E928">
        <v>37883</v>
      </c>
      <c r="F928">
        <v>37745</v>
      </c>
      <c r="G928" s="16" t="s">
        <v>17</v>
      </c>
      <c r="H928" s="3">
        <v>45314</v>
      </c>
      <c r="I928" s="3">
        <v>45321</v>
      </c>
      <c r="J928" t="s">
        <v>50</v>
      </c>
      <c r="K928" t="s">
        <v>19</v>
      </c>
      <c r="L928">
        <v>7</v>
      </c>
      <c r="M928" t="s">
        <v>39</v>
      </c>
    </row>
    <row r="929" spans="1:13" x14ac:dyDescent="0.35">
      <c r="A929" t="s">
        <v>986</v>
      </c>
      <c r="B929" t="s">
        <v>96</v>
      </c>
      <c r="C929" t="s">
        <v>64</v>
      </c>
      <c r="D929" t="s">
        <v>34</v>
      </c>
      <c r="E929">
        <v>26727</v>
      </c>
      <c r="F929">
        <v>25019</v>
      </c>
      <c r="G929" s="16" t="s">
        <v>17</v>
      </c>
      <c r="H929" s="3">
        <v>45602</v>
      </c>
      <c r="I929" s="3">
        <v>45605</v>
      </c>
      <c r="J929" t="s">
        <v>18</v>
      </c>
      <c r="K929" t="s">
        <v>19</v>
      </c>
      <c r="L929">
        <v>3</v>
      </c>
      <c r="M929" t="s">
        <v>48</v>
      </c>
    </row>
    <row r="930" spans="1:13" x14ac:dyDescent="0.35">
      <c r="A930" t="s">
        <v>987</v>
      </c>
      <c r="B930" t="s">
        <v>72</v>
      </c>
      <c r="C930" t="s">
        <v>64</v>
      </c>
      <c r="D930" t="s">
        <v>55</v>
      </c>
      <c r="E930">
        <v>11763</v>
      </c>
      <c r="F930">
        <v>11581</v>
      </c>
      <c r="G930" s="16" t="s">
        <v>17</v>
      </c>
      <c r="H930" s="3">
        <v>45611</v>
      </c>
      <c r="I930" s="3">
        <v>45621</v>
      </c>
      <c r="J930" t="s">
        <v>50</v>
      </c>
      <c r="K930" t="s">
        <v>35</v>
      </c>
      <c r="L930">
        <v>10</v>
      </c>
      <c r="M930" t="s">
        <v>48</v>
      </c>
    </row>
    <row r="931" spans="1:13" x14ac:dyDescent="0.35">
      <c r="A931" t="s">
        <v>988</v>
      </c>
      <c r="B931" t="s">
        <v>26</v>
      </c>
      <c r="C931" t="s">
        <v>27</v>
      </c>
      <c r="D931" t="s">
        <v>34</v>
      </c>
      <c r="E931">
        <v>37454</v>
      </c>
      <c r="F931">
        <v>35492</v>
      </c>
      <c r="G931" s="16" t="s">
        <v>17</v>
      </c>
      <c r="H931" s="3">
        <v>45635</v>
      </c>
      <c r="I931" s="3">
        <v>45643</v>
      </c>
      <c r="J931" t="s">
        <v>50</v>
      </c>
      <c r="K931" t="s">
        <v>56</v>
      </c>
      <c r="L931">
        <v>8</v>
      </c>
      <c r="M931" t="s">
        <v>62</v>
      </c>
    </row>
    <row r="932" spans="1:13" x14ac:dyDescent="0.35">
      <c r="A932" t="s">
        <v>989</v>
      </c>
      <c r="B932" t="s">
        <v>14</v>
      </c>
      <c r="C932" t="s">
        <v>73</v>
      </c>
      <c r="D932" t="s">
        <v>23</v>
      </c>
      <c r="E932">
        <v>39486</v>
      </c>
      <c r="F932">
        <v>38337</v>
      </c>
      <c r="G932" s="16" t="s">
        <v>17</v>
      </c>
      <c r="H932" s="3">
        <v>45622</v>
      </c>
      <c r="I932" s="3">
        <v>45624</v>
      </c>
      <c r="J932" t="s">
        <v>18</v>
      </c>
      <c r="K932" t="s">
        <v>47</v>
      </c>
      <c r="L932">
        <v>2</v>
      </c>
      <c r="M932" t="s">
        <v>48</v>
      </c>
    </row>
    <row r="933" spans="1:13" x14ac:dyDescent="0.35">
      <c r="A933" t="s">
        <v>990</v>
      </c>
      <c r="B933" t="s">
        <v>53</v>
      </c>
      <c r="C933" t="s">
        <v>15</v>
      </c>
      <c r="D933" t="s">
        <v>28</v>
      </c>
      <c r="E933">
        <v>33184</v>
      </c>
      <c r="F933">
        <v>0</v>
      </c>
      <c r="G933" s="16" t="s">
        <v>29</v>
      </c>
      <c r="H933" s="3">
        <v>45301</v>
      </c>
      <c r="I933" s="3"/>
      <c r="J933" t="s">
        <v>18</v>
      </c>
      <c r="K933" t="s">
        <v>56</v>
      </c>
      <c r="M933" t="s">
        <v>39</v>
      </c>
    </row>
    <row r="934" spans="1:13" x14ac:dyDescent="0.35">
      <c r="A934" t="s">
        <v>991</v>
      </c>
      <c r="B934" t="s">
        <v>79</v>
      </c>
      <c r="C934" t="s">
        <v>73</v>
      </c>
      <c r="D934" t="s">
        <v>23</v>
      </c>
      <c r="E934">
        <v>20019</v>
      </c>
      <c r="F934">
        <v>19517</v>
      </c>
      <c r="G934" s="16" t="s">
        <v>17</v>
      </c>
      <c r="H934" s="3">
        <v>45653</v>
      </c>
      <c r="I934" s="3">
        <v>45663</v>
      </c>
      <c r="J934" t="s">
        <v>50</v>
      </c>
      <c r="K934" t="s">
        <v>47</v>
      </c>
      <c r="L934">
        <v>10</v>
      </c>
      <c r="M934" t="s">
        <v>62</v>
      </c>
    </row>
    <row r="935" spans="1:13" x14ac:dyDescent="0.35">
      <c r="A935" t="s">
        <v>992</v>
      </c>
      <c r="B935" t="s">
        <v>79</v>
      </c>
      <c r="C935" t="s">
        <v>38</v>
      </c>
      <c r="D935" t="s">
        <v>58</v>
      </c>
      <c r="E935">
        <v>40593</v>
      </c>
      <c r="F935">
        <v>39587</v>
      </c>
      <c r="G935" s="16" t="s">
        <v>17</v>
      </c>
      <c r="H935" s="3">
        <v>45303</v>
      </c>
      <c r="I935" s="3">
        <v>45309</v>
      </c>
      <c r="J935" t="s">
        <v>50</v>
      </c>
      <c r="K935" t="s">
        <v>47</v>
      </c>
      <c r="L935">
        <v>6</v>
      </c>
      <c r="M935" t="s">
        <v>39</v>
      </c>
    </row>
    <row r="936" spans="1:13" x14ac:dyDescent="0.35">
      <c r="A936" t="s">
        <v>993</v>
      </c>
      <c r="B936" t="s">
        <v>22</v>
      </c>
      <c r="C936" t="s">
        <v>15</v>
      </c>
      <c r="D936" t="s">
        <v>34</v>
      </c>
      <c r="E936">
        <v>27035</v>
      </c>
      <c r="F936">
        <v>26849</v>
      </c>
      <c r="G936" s="16" t="s">
        <v>17</v>
      </c>
      <c r="H936" s="3">
        <v>45350</v>
      </c>
      <c r="I936" s="3">
        <v>45352</v>
      </c>
      <c r="J936" t="s">
        <v>18</v>
      </c>
      <c r="K936" t="s">
        <v>43</v>
      </c>
      <c r="L936">
        <v>2</v>
      </c>
      <c r="M936" t="s">
        <v>20</v>
      </c>
    </row>
    <row r="937" spans="1:13" x14ac:dyDescent="0.35">
      <c r="A937" t="s">
        <v>994</v>
      </c>
      <c r="B937" t="s">
        <v>33</v>
      </c>
      <c r="C937" t="s">
        <v>73</v>
      </c>
      <c r="D937" t="s">
        <v>16</v>
      </c>
      <c r="E937">
        <v>7873</v>
      </c>
      <c r="F937">
        <v>7245</v>
      </c>
      <c r="G937" s="16" t="s">
        <v>17</v>
      </c>
      <c r="H937" s="3">
        <v>45500</v>
      </c>
      <c r="I937" s="3">
        <v>45503</v>
      </c>
      <c r="J937" t="s">
        <v>18</v>
      </c>
      <c r="K937" t="s">
        <v>19</v>
      </c>
      <c r="L937">
        <v>3</v>
      </c>
      <c r="M937" t="s">
        <v>85</v>
      </c>
    </row>
    <row r="938" spans="1:13" x14ac:dyDescent="0.35">
      <c r="A938" t="s">
        <v>995</v>
      </c>
      <c r="B938" t="s">
        <v>41</v>
      </c>
      <c r="C938" t="s">
        <v>73</v>
      </c>
      <c r="D938" t="s">
        <v>23</v>
      </c>
      <c r="E938">
        <v>48746</v>
      </c>
      <c r="F938">
        <v>48136</v>
      </c>
      <c r="G938" s="16" t="s">
        <v>17</v>
      </c>
      <c r="H938" s="3">
        <v>45491</v>
      </c>
      <c r="I938" s="3">
        <v>45493</v>
      </c>
      <c r="J938" t="s">
        <v>50</v>
      </c>
      <c r="K938" t="s">
        <v>47</v>
      </c>
      <c r="L938">
        <v>2</v>
      </c>
      <c r="M938" t="s">
        <v>85</v>
      </c>
    </row>
    <row r="939" spans="1:13" x14ac:dyDescent="0.35">
      <c r="A939" t="s">
        <v>996</v>
      </c>
      <c r="B939" t="s">
        <v>22</v>
      </c>
      <c r="C939" t="s">
        <v>38</v>
      </c>
      <c r="D939" t="s">
        <v>16</v>
      </c>
      <c r="E939">
        <v>26609</v>
      </c>
      <c r="F939">
        <v>26503</v>
      </c>
      <c r="G939" s="16" t="s">
        <v>17</v>
      </c>
      <c r="H939" s="3">
        <v>45395</v>
      </c>
      <c r="I939" s="3">
        <v>45399</v>
      </c>
      <c r="J939" t="s">
        <v>18</v>
      </c>
      <c r="K939" t="s">
        <v>35</v>
      </c>
      <c r="L939">
        <v>4</v>
      </c>
      <c r="M939" t="s">
        <v>51</v>
      </c>
    </row>
    <row r="940" spans="1:13" x14ac:dyDescent="0.35">
      <c r="A940" t="s">
        <v>997</v>
      </c>
      <c r="B940" t="s">
        <v>79</v>
      </c>
      <c r="C940" t="s">
        <v>27</v>
      </c>
      <c r="D940" t="s">
        <v>70</v>
      </c>
      <c r="E940">
        <v>19648</v>
      </c>
      <c r="F940">
        <v>18997</v>
      </c>
      <c r="G940" s="16" t="s">
        <v>17</v>
      </c>
      <c r="H940" s="3">
        <v>45529</v>
      </c>
      <c r="I940" s="3">
        <v>45538</v>
      </c>
      <c r="J940" t="s">
        <v>50</v>
      </c>
      <c r="K940" t="s">
        <v>47</v>
      </c>
      <c r="L940">
        <v>9</v>
      </c>
      <c r="M940" t="s">
        <v>44</v>
      </c>
    </row>
    <row r="941" spans="1:13" x14ac:dyDescent="0.35">
      <c r="A941" t="s">
        <v>998</v>
      </c>
      <c r="B941" t="s">
        <v>72</v>
      </c>
      <c r="C941" t="s">
        <v>15</v>
      </c>
      <c r="D941" t="s">
        <v>58</v>
      </c>
      <c r="E941">
        <v>43519</v>
      </c>
      <c r="F941">
        <v>41648</v>
      </c>
      <c r="G941" s="16" t="s">
        <v>17</v>
      </c>
      <c r="H941" s="3">
        <v>45301</v>
      </c>
      <c r="I941" s="3">
        <v>45306</v>
      </c>
      <c r="J941" t="s">
        <v>18</v>
      </c>
      <c r="K941" t="s">
        <v>47</v>
      </c>
      <c r="L941">
        <v>5</v>
      </c>
      <c r="M941" t="s">
        <v>39</v>
      </c>
    </row>
    <row r="942" spans="1:13" x14ac:dyDescent="0.35">
      <c r="A942" t="s">
        <v>999</v>
      </c>
      <c r="B942" t="s">
        <v>79</v>
      </c>
      <c r="C942" t="s">
        <v>73</v>
      </c>
      <c r="D942" t="s">
        <v>16</v>
      </c>
      <c r="E942">
        <v>39240</v>
      </c>
      <c r="F942">
        <v>38327</v>
      </c>
      <c r="G942" s="16" t="s">
        <v>17</v>
      </c>
      <c r="H942" s="3">
        <v>45334</v>
      </c>
      <c r="I942" s="3">
        <v>45343</v>
      </c>
      <c r="J942" t="s">
        <v>18</v>
      </c>
      <c r="K942" t="s">
        <v>30</v>
      </c>
      <c r="L942">
        <v>9</v>
      </c>
      <c r="M942" t="s">
        <v>20</v>
      </c>
    </row>
    <row r="943" spans="1:13" x14ac:dyDescent="0.35">
      <c r="A943" t="s">
        <v>1000</v>
      </c>
      <c r="B943" t="s">
        <v>33</v>
      </c>
      <c r="C943" t="s">
        <v>38</v>
      </c>
      <c r="D943" t="s">
        <v>61</v>
      </c>
      <c r="E943">
        <v>18066</v>
      </c>
      <c r="F943">
        <v>0</v>
      </c>
      <c r="G943" s="16" t="s">
        <v>29</v>
      </c>
      <c r="H943" s="3">
        <v>45508</v>
      </c>
      <c r="I943" s="3"/>
      <c r="J943" t="s">
        <v>50</v>
      </c>
      <c r="K943" t="s">
        <v>47</v>
      </c>
      <c r="M943" t="s">
        <v>44</v>
      </c>
    </row>
    <row r="944" spans="1:13" x14ac:dyDescent="0.35">
      <c r="A944" t="s">
        <v>1001</v>
      </c>
      <c r="B944" t="s">
        <v>60</v>
      </c>
      <c r="C944" t="s">
        <v>64</v>
      </c>
      <c r="D944" t="s">
        <v>16</v>
      </c>
      <c r="E944">
        <v>44798</v>
      </c>
      <c r="F944">
        <v>44797</v>
      </c>
      <c r="G944" s="16" t="s">
        <v>17</v>
      </c>
      <c r="H944" s="3">
        <v>45322</v>
      </c>
      <c r="I944" s="3">
        <v>45330</v>
      </c>
      <c r="J944" t="s">
        <v>50</v>
      </c>
      <c r="K944" t="s">
        <v>19</v>
      </c>
      <c r="L944">
        <v>8</v>
      </c>
      <c r="M944" t="s">
        <v>39</v>
      </c>
    </row>
    <row r="945" spans="1:13" x14ac:dyDescent="0.35">
      <c r="A945" t="s">
        <v>1002</v>
      </c>
      <c r="B945" t="s">
        <v>96</v>
      </c>
      <c r="C945" t="s">
        <v>27</v>
      </c>
      <c r="D945" t="s">
        <v>34</v>
      </c>
      <c r="E945">
        <v>43432</v>
      </c>
      <c r="F945">
        <v>42234</v>
      </c>
      <c r="G945" s="16" t="s">
        <v>17</v>
      </c>
      <c r="H945" s="3">
        <v>45553</v>
      </c>
      <c r="I945" s="3">
        <v>45558</v>
      </c>
      <c r="J945" t="s">
        <v>18</v>
      </c>
      <c r="K945" t="s">
        <v>47</v>
      </c>
      <c r="L945">
        <v>5</v>
      </c>
      <c r="M945" t="s">
        <v>24</v>
      </c>
    </row>
    <row r="946" spans="1:13" x14ac:dyDescent="0.35">
      <c r="A946" t="s">
        <v>1003</v>
      </c>
      <c r="B946" t="s">
        <v>79</v>
      </c>
      <c r="C946" t="s">
        <v>15</v>
      </c>
      <c r="D946" t="s">
        <v>16</v>
      </c>
      <c r="E946">
        <v>7879</v>
      </c>
      <c r="F946">
        <v>6449</v>
      </c>
      <c r="G946" s="16" t="s">
        <v>17</v>
      </c>
      <c r="H946" s="3">
        <v>45354</v>
      </c>
      <c r="I946" s="3">
        <v>45357</v>
      </c>
      <c r="J946" t="s">
        <v>50</v>
      </c>
      <c r="K946" t="s">
        <v>35</v>
      </c>
      <c r="L946">
        <v>3</v>
      </c>
      <c r="M946" t="s">
        <v>67</v>
      </c>
    </row>
    <row r="947" spans="1:13" x14ac:dyDescent="0.35">
      <c r="A947" t="s">
        <v>1004</v>
      </c>
      <c r="B947" t="s">
        <v>26</v>
      </c>
      <c r="C947" t="s">
        <v>38</v>
      </c>
      <c r="D947" t="s">
        <v>34</v>
      </c>
      <c r="E947">
        <v>43626</v>
      </c>
      <c r="F947">
        <v>42085</v>
      </c>
      <c r="G947" s="16" t="s">
        <v>17</v>
      </c>
      <c r="H947" s="3">
        <v>45654</v>
      </c>
      <c r="I947" s="3">
        <v>45662</v>
      </c>
      <c r="J947" t="s">
        <v>50</v>
      </c>
      <c r="K947" t="s">
        <v>47</v>
      </c>
      <c r="L947">
        <v>8</v>
      </c>
      <c r="M947" t="s">
        <v>62</v>
      </c>
    </row>
    <row r="948" spans="1:13" x14ac:dyDescent="0.35">
      <c r="A948" t="s">
        <v>1005</v>
      </c>
      <c r="B948" t="s">
        <v>41</v>
      </c>
      <c r="C948" t="s">
        <v>38</v>
      </c>
      <c r="D948" t="s">
        <v>28</v>
      </c>
      <c r="E948">
        <v>32133</v>
      </c>
      <c r="F948">
        <v>0</v>
      </c>
      <c r="G948" s="16" t="s">
        <v>29</v>
      </c>
      <c r="H948" s="3">
        <v>45460</v>
      </c>
      <c r="I948" s="3"/>
      <c r="J948" t="s">
        <v>18</v>
      </c>
      <c r="K948" t="s">
        <v>56</v>
      </c>
      <c r="M948" t="s">
        <v>36</v>
      </c>
    </row>
    <row r="949" spans="1:13" x14ac:dyDescent="0.35">
      <c r="A949" t="s">
        <v>1006</v>
      </c>
      <c r="B949" t="s">
        <v>33</v>
      </c>
      <c r="C949" t="s">
        <v>15</v>
      </c>
      <c r="D949" t="s">
        <v>55</v>
      </c>
      <c r="E949">
        <v>2280</v>
      </c>
      <c r="F949">
        <v>903</v>
      </c>
      <c r="G949" s="16" t="s">
        <v>17</v>
      </c>
      <c r="H949" s="3">
        <v>45380</v>
      </c>
      <c r="I949" s="3">
        <v>45387</v>
      </c>
      <c r="J949" t="s">
        <v>50</v>
      </c>
      <c r="K949" t="s">
        <v>30</v>
      </c>
      <c r="L949">
        <v>7</v>
      </c>
      <c r="M949" t="s">
        <v>67</v>
      </c>
    </row>
    <row r="950" spans="1:13" x14ac:dyDescent="0.35">
      <c r="A950" t="s">
        <v>1007</v>
      </c>
      <c r="B950" t="s">
        <v>22</v>
      </c>
      <c r="C950" t="s">
        <v>15</v>
      </c>
      <c r="D950" t="s">
        <v>70</v>
      </c>
      <c r="E950">
        <v>37300</v>
      </c>
      <c r="F950">
        <v>35473</v>
      </c>
      <c r="G950" s="16" t="s">
        <v>17</v>
      </c>
      <c r="H950" s="3">
        <v>45635</v>
      </c>
      <c r="I950" s="3">
        <v>45643</v>
      </c>
      <c r="J950" t="s">
        <v>18</v>
      </c>
      <c r="K950" t="s">
        <v>43</v>
      </c>
      <c r="L950">
        <v>8</v>
      </c>
      <c r="M950" t="s">
        <v>62</v>
      </c>
    </row>
    <row r="951" spans="1:13" x14ac:dyDescent="0.35">
      <c r="A951" t="s">
        <v>1008</v>
      </c>
      <c r="B951" t="s">
        <v>22</v>
      </c>
      <c r="C951" t="s">
        <v>38</v>
      </c>
      <c r="D951" t="s">
        <v>58</v>
      </c>
      <c r="E951">
        <v>13612</v>
      </c>
      <c r="F951">
        <v>13357</v>
      </c>
      <c r="G951" s="16" t="s">
        <v>17</v>
      </c>
      <c r="H951" s="3">
        <v>45528</v>
      </c>
      <c r="I951" s="3">
        <v>45534</v>
      </c>
      <c r="J951" t="s">
        <v>18</v>
      </c>
      <c r="K951" t="s">
        <v>35</v>
      </c>
      <c r="L951">
        <v>6</v>
      </c>
      <c r="M951" t="s">
        <v>44</v>
      </c>
    </row>
    <row r="952" spans="1:13" x14ac:dyDescent="0.35">
      <c r="A952" t="s">
        <v>1009</v>
      </c>
      <c r="B952" t="s">
        <v>60</v>
      </c>
      <c r="C952" t="s">
        <v>46</v>
      </c>
      <c r="D952" t="s">
        <v>23</v>
      </c>
      <c r="E952">
        <v>20424</v>
      </c>
      <c r="F952">
        <v>20032</v>
      </c>
      <c r="G952" s="16" t="s">
        <v>17</v>
      </c>
      <c r="H952" s="3">
        <v>45338</v>
      </c>
      <c r="I952" s="3">
        <v>45348</v>
      </c>
      <c r="J952" t="s">
        <v>50</v>
      </c>
      <c r="K952" t="s">
        <v>30</v>
      </c>
      <c r="L952">
        <v>10</v>
      </c>
      <c r="M952" t="s">
        <v>20</v>
      </c>
    </row>
    <row r="953" spans="1:13" x14ac:dyDescent="0.35">
      <c r="A953" t="s">
        <v>1010</v>
      </c>
      <c r="B953" t="s">
        <v>26</v>
      </c>
      <c r="C953" t="s">
        <v>46</v>
      </c>
      <c r="D953" t="s">
        <v>55</v>
      </c>
      <c r="E953">
        <v>25789</v>
      </c>
      <c r="F953">
        <v>25215</v>
      </c>
      <c r="G953" s="16" t="s">
        <v>17</v>
      </c>
      <c r="H953" s="3">
        <v>45544</v>
      </c>
      <c r="I953" s="3">
        <v>45554</v>
      </c>
      <c r="J953" t="s">
        <v>18</v>
      </c>
      <c r="K953" t="s">
        <v>47</v>
      </c>
      <c r="L953">
        <v>10</v>
      </c>
      <c r="M953" t="s">
        <v>24</v>
      </c>
    </row>
    <row r="954" spans="1:13" x14ac:dyDescent="0.35">
      <c r="A954" t="s">
        <v>1011</v>
      </c>
      <c r="B954" t="s">
        <v>26</v>
      </c>
      <c r="C954" t="s">
        <v>27</v>
      </c>
      <c r="D954" t="s">
        <v>70</v>
      </c>
      <c r="E954">
        <v>20176</v>
      </c>
      <c r="F954">
        <v>0</v>
      </c>
      <c r="G954" s="16" t="s">
        <v>29</v>
      </c>
      <c r="H954" s="3">
        <v>45548</v>
      </c>
      <c r="I954" s="3"/>
      <c r="J954" t="s">
        <v>50</v>
      </c>
      <c r="K954" t="s">
        <v>47</v>
      </c>
      <c r="M954" t="s">
        <v>24</v>
      </c>
    </row>
    <row r="955" spans="1:13" x14ac:dyDescent="0.35">
      <c r="A955" t="s">
        <v>1012</v>
      </c>
      <c r="B955" t="s">
        <v>79</v>
      </c>
      <c r="C955" t="s">
        <v>46</v>
      </c>
      <c r="D955" t="s">
        <v>61</v>
      </c>
      <c r="E955">
        <v>6283</v>
      </c>
      <c r="F955">
        <v>0</v>
      </c>
      <c r="G955" s="16" t="s">
        <v>29</v>
      </c>
      <c r="H955" s="3">
        <v>45357</v>
      </c>
      <c r="I955" s="3"/>
      <c r="J955" t="s">
        <v>18</v>
      </c>
      <c r="K955" t="s">
        <v>47</v>
      </c>
      <c r="M955" t="s">
        <v>67</v>
      </c>
    </row>
    <row r="956" spans="1:13" x14ac:dyDescent="0.35">
      <c r="A956" t="s">
        <v>1013</v>
      </c>
      <c r="B956" t="s">
        <v>96</v>
      </c>
      <c r="C956" t="s">
        <v>46</v>
      </c>
      <c r="D956" t="s">
        <v>16</v>
      </c>
      <c r="E956">
        <v>14573</v>
      </c>
      <c r="F956">
        <v>12587</v>
      </c>
      <c r="G956" s="16" t="s">
        <v>17</v>
      </c>
      <c r="H956" s="3">
        <v>45646</v>
      </c>
      <c r="I956" s="3">
        <v>45655</v>
      </c>
      <c r="J956" t="s">
        <v>50</v>
      </c>
      <c r="K956" t="s">
        <v>56</v>
      </c>
      <c r="L956">
        <v>9</v>
      </c>
      <c r="M956" t="s">
        <v>62</v>
      </c>
    </row>
    <row r="957" spans="1:13" x14ac:dyDescent="0.35">
      <c r="A957" t="s">
        <v>1014</v>
      </c>
      <c r="B957" t="s">
        <v>79</v>
      </c>
      <c r="C957" t="s">
        <v>64</v>
      </c>
      <c r="D957" t="s">
        <v>23</v>
      </c>
      <c r="E957">
        <v>29991</v>
      </c>
      <c r="F957">
        <v>28243</v>
      </c>
      <c r="G957" s="16" t="s">
        <v>17</v>
      </c>
      <c r="H957" s="3">
        <v>45457</v>
      </c>
      <c r="I957" s="3">
        <v>45464</v>
      </c>
      <c r="J957" t="s">
        <v>50</v>
      </c>
      <c r="K957" t="s">
        <v>43</v>
      </c>
      <c r="L957">
        <v>7</v>
      </c>
      <c r="M957" t="s">
        <v>36</v>
      </c>
    </row>
    <row r="958" spans="1:13" x14ac:dyDescent="0.35">
      <c r="A958" t="s">
        <v>1015</v>
      </c>
      <c r="B958" t="s">
        <v>14</v>
      </c>
      <c r="C958" t="s">
        <v>64</v>
      </c>
      <c r="D958" t="s">
        <v>55</v>
      </c>
      <c r="E958">
        <v>25689</v>
      </c>
      <c r="F958">
        <v>0</v>
      </c>
      <c r="G958" s="16" t="s">
        <v>29</v>
      </c>
      <c r="H958" s="3">
        <v>45314</v>
      </c>
      <c r="I958" s="3"/>
      <c r="J958" t="s">
        <v>18</v>
      </c>
      <c r="K958" t="s">
        <v>47</v>
      </c>
      <c r="M958" t="s">
        <v>39</v>
      </c>
    </row>
    <row r="959" spans="1:13" x14ac:dyDescent="0.35">
      <c r="A959" t="s">
        <v>1016</v>
      </c>
      <c r="B959" t="s">
        <v>96</v>
      </c>
      <c r="C959" t="s">
        <v>27</v>
      </c>
      <c r="D959" t="s">
        <v>55</v>
      </c>
      <c r="E959">
        <v>22725</v>
      </c>
      <c r="F959">
        <v>21923</v>
      </c>
      <c r="G959" s="16" t="s">
        <v>17</v>
      </c>
      <c r="H959" s="3">
        <v>45391</v>
      </c>
      <c r="I959" s="3">
        <v>45397</v>
      </c>
      <c r="J959" t="s">
        <v>18</v>
      </c>
      <c r="K959" t="s">
        <v>19</v>
      </c>
      <c r="L959">
        <v>6</v>
      </c>
      <c r="M959" t="s">
        <v>51</v>
      </c>
    </row>
    <row r="960" spans="1:13" x14ac:dyDescent="0.35">
      <c r="A960" t="s">
        <v>1017</v>
      </c>
      <c r="B960" t="s">
        <v>60</v>
      </c>
      <c r="C960" t="s">
        <v>46</v>
      </c>
      <c r="D960" t="s">
        <v>58</v>
      </c>
      <c r="E960">
        <v>6878</v>
      </c>
      <c r="F960">
        <v>6475</v>
      </c>
      <c r="G960" s="16" t="s">
        <v>17</v>
      </c>
      <c r="H960" s="3">
        <v>45376</v>
      </c>
      <c r="I960" s="3">
        <v>45382</v>
      </c>
      <c r="J960" t="s">
        <v>50</v>
      </c>
      <c r="K960" t="s">
        <v>47</v>
      </c>
      <c r="L960">
        <v>6</v>
      </c>
      <c r="M960" t="s">
        <v>67</v>
      </c>
    </row>
    <row r="961" spans="1:13" x14ac:dyDescent="0.35">
      <c r="A961" t="s">
        <v>1018</v>
      </c>
      <c r="B961" t="s">
        <v>14</v>
      </c>
      <c r="C961" t="s">
        <v>15</v>
      </c>
      <c r="D961" t="s">
        <v>55</v>
      </c>
      <c r="E961">
        <v>30308</v>
      </c>
      <c r="F961">
        <v>29095</v>
      </c>
      <c r="G961" s="16" t="s">
        <v>17</v>
      </c>
      <c r="H961" s="3">
        <v>45612</v>
      </c>
      <c r="I961" s="3">
        <v>45618</v>
      </c>
      <c r="J961" t="s">
        <v>50</v>
      </c>
      <c r="K961" t="s">
        <v>47</v>
      </c>
      <c r="L961">
        <v>6</v>
      </c>
      <c r="M961" t="s">
        <v>48</v>
      </c>
    </row>
    <row r="962" spans="1:13" x14ac:dyDescent="0.35">
      <c r="A962" t="s">
        <v>1019</v>
      </c>
      <c r="B962" t="s">
        <v>14</v>
      </c>
      <c r="C962" t="s">
        <v>64</v>
      </c>
      <c r="D962" t="s">
        <v>28</v>
      </c>
      <c r="E962">
        <v>24334</v>
      </c>
      <c r="F962">
        <v>22652</v>
      </c>
      <c r="G962" s="16" t="s">
        <v>17</v>
      </c>
      <c r="H962" s="3">
        <v>45462</v>
      </c>
      <c r="I962" s="3">
        <v>45471</v>
      </c>
      <c r="J962" t="s">
        <v>18</v>
      </c>
      <c r="K962" t="s">
        <v>47</v>
      </c>
      <c r="L962">
        <v>9</v>
      </c>
      <c r="M962" t="s">
        <v>36</v>
      </c>
    </row>
    <row r="963" spans="1:13" x14ac:dyDescent="0.35">
      <c r="A963" t="s">
        <v>1020</v>
      </c>
      <c r="B963" t="s">
        <v>53</v>
      </c>
      <c r="C963" t="s">
        <v>64</v>
      </c>
      <c r="D963" t="s">
        <v>70</v>
      </c>
      <c r="E963">
        <v>42982</v>
      </c>
      <c r="F963">
        <v>41797</v>
      </c>
      <c r="G963" s="16" t="s">
        <v>17</v>
      </c>
      <c r="H963" s="3">
        <v>45355</v>
      </c>
      <c r="I963" s="3">
        <v>45357</v>
      </c>
      <c r="J963" t="s">
        <v>18</v>
      </c>
      <c r="K963" t="s">
        <v>47</v>
      </c>
      <c r="L963">
        <v>2</v>
      </c>
      <c r="M963" t="s">
        <v>67</v>
      </c>
    </row>
    <row r="964" spans="1:13" x14ac:dyDescent="0.35">
      <c r="A964" t="s">
        <v>1021</v>
      </c>
      <c r="B964" t="s">
        <v>22</v>
      </c>
      <c r="C964" t="s">
        <v>38</v>
      </c>
      <c r="D964" t="s">
        <v>70</v>
      </c>
      <c r="E964">
        <v>10358</v>
      </c>
      <c r="F964">
        <v>8476</v>
      </c>
      <c r="G964" s="16" t="s">
        <v>17</v>
      </c>
      <c r="H964" s="3">
        <v>45518</v>
      </c>
      <c r="I964" s="3">
        <v>45519</v>
      </c>
      <c r="J964" t="s">
        <v>50</v>
      </c>
      <c r="K964" t="s">
        <v>19</v>
      </c>
      <c r="L964">
        <v>1</v>
      </c>
      <c r="M964" t="s">
        <v>44</v>
      </c>
    </row>
    <row r="965" spans="1:13" x14ac:dyDescent="0.35">
      <c r="A965" t="s">
        <v>1022</v>
      </c>
      <c r="B965" t="s">
        <v>22</v>
      </c>
      <c r="C965" t="s">
        <v>15</v>
      </c>
      <c r="D965" t="s">
        <v>70</v>
      </c>
      <c r="E965">
        <v>46404</v>
      </c>
      <c r="F965">
        <v>45259</v>
      </c>
      <c r="G965" s="16" t="s">
        <v>17</v>
      </c>
      <c r="H965" s="3">
        <v>45318</v>
      </c>
      <c r="I965" s="3">
        <v>45323</v>
      </c>
      <c r="J965" t="s">
        <v>50</v>
      </c>
      <c r="K965" t="s">
        <v>35</v>
      </c>
      <c r="L965">
        <v>5</v>
      </c>
      <c r="M965" t="s">
        <v>39</v>
      </c>
    </row>
    <row r="966" spans="1:13" x14ac:dyDescent="0.35">
      <c r="A966" t="s">
        <v>1023</v>
      </c>
      <c r="B966" t="s">
        <v>14</v>
      </c>
      <c r="C966" t="s">
        <v>27</v>
      </c>
      <c r="D966" t="s">
        <v>28</v>
      </c>
      <c r="E966">
        <v>41293</v>
      </c>
      <c r="F966">
        <v>0</v>
      </c>
      <c r="G966" s="16" t="s">
        <v>29</v>
      </c>
      <c r="H966" s="3">
        <v>45297</v>
      </c>
      <c r="I966" s="3"/>
      <c r="J966" t="s">
        <v>50</v>
      </c>
      <c r="K966" t="s">
        <v>35</v>
      </c>
      <c r="M966" t="s">
        <v>39</v>
      </c>
    </row>
    <row r="967" spans="1:13" x14ac:dyDescent="0.35">
      <c r="A967" t="s">
        <v>1024</v>
      </c>
      <c r="B967" t="s">
        <v>72</v>
      </c>
      <c r="C967" t="s">
        <v>27</v>
      </c>
      <c r="D967" t="s">
        <v>70</v>
      </c>
      <c r="E967">
        <v>24257</v>
      </c>
      <c r="F967">
        <v>23328</v>
      </c>
      <c r="G967" s="16" t="s">
        <v>17</v>
      </c>
      <c r="H967" s="3">
        <v>45556</v>
      </c>
      <c r="I967" s="3">
        <v>45562</v>
      </c>
      <c r="J967" t="s">
        <v>18</v>
      </c>
      <c r="K967" t="s">
        <v>47</v>
      </c>
      <c r="L967">
        <v>6</v>
      </c>
      <c r="M967" t="s">
        <v>24</v>
      </c>
    </row>
    <row r="968" spans="1:13" x14ac:dyDescent="0.35">
      <c r="A968" t="s">
        <v>1025</v>
      </c>
      <c r="B968" t="s">
        <v>14</v>
      </c>
      <c r="C968" t="s">
        <v>15</v>
      </c>
      <c r="D968" t="s">
        <v>70</v>
      </c>
      <c r="E968">
        <v>40855</v>
      </c>
      <c r="F968">
        <v>39003</v>
      </c>
      <c r="G968" s="16" t="s">
        <v>17</v>
      </c>
      <c r="H968" s="3">
        <v>45585</v>
      </c>
      <c r="I968" s="3">
        <v>45588</v>
      </c>
      <c r="J968" t="s">
        <v>50</v>
      </c>
      <c r="K968" t="s">
        <v>43</v>
      </c>
      <c r="L968">
        <v>3</v>
      </c>
      <c r="M968" t="s">
        <v>76</v>
      </c>
    </row>
    <row r="969" spans="1:13" x14ac:dyDescent="0.35">
      <c r="A969" t="s">
        <v>1026</v>
      </c>
      <c r="B969" t="s">
        <v>22</v>
      </c>
      <c r="C969" t="s">
        <v>64</v>
      </c>
      <c r="D969" t="s">
        <v>55</v>
      </c>
      <c r="E969">
        <v>14184</v>
      </c>
      <c r="F969">
        <v>13903</v>
      </c>
      <c r="G969" s="16" t="s">
        <v>17</v>
      </c>
      <c r="H969" s="3">
        <v>45314</v>
      </c>
      <c r="I969" s="3">
        <v>45315</v>
      </c>
      <c r="J969" t="s">
        <v>18</v>
      </c>
      <c r="K969" t="s">
        <v>43</v>
      </c>
      <c r="L969">
        <v>1</v>
      </c>
      <c r="M969" t="s">
        <v>39</v>
      </c>
    </row>
    <row r="970" spans="1:13" x14ac:dyDescent="0.35">
      <c r="A970" t="s">
        <v>1027</v>
      </c>
      <c r="B970" t="s">
        <v>53</v>
      </c>
      <c r="C970" t="s">
        <v>27</v>
      </c>
      <c r="D970" t="s">
        <v>34</v>
      </c>
      <c r="E970">
        <v>22394</v>
      </c>
      <c r="F970">
        <v>0</v>
      </c>
      <c r="G970" s="16" t="s">
        <v>29</v>
      </c>
      <c r="H970" s="3">
        <v>45569</v>
      </c>
      <c r="I970" s="3"/>
      <c r="J970" t="s">
        <v>18</v>
      </c>
      <c r="K970" t="s">
        <v>47</v>
      </c>
      <c r="M970" t="s">
        <v>76</v>
      </c>
    </row>
    <row r="971" spans="1:13" x14ac:dyDescent="0.35">
      <c r="A971" t="s">
        <v>1028</v>
      </c>
      <c r="B971" t="s">
        <v>72</v>
      </c>
      <c r="C971" t="s">
        <v>38</v>
      </c>
      <c r="D971" t="s">
        <v>34</v>
      </c>
      <c r="E971">
        <v>21075</v>
      </c>
      <c r="F971">
        <v>19088</v>
      </c>
      <c r="G971" s="16" t="s">
        <v>17</v>
      </c>
      <c r="H971" s="3">
        <v>45296</v>
      </c>
      <c r="I971" s="3">
        <v>45305</v>
      </c>
      <c r="J971" t="s">
        <v>18</v>
      </c>
      <c r="K971" t="s">
        <v>47</v>
      </c>
      <c r="L971">
        <v>9</v>
      </c>
      <c r="M971" t="s">
        <v>39</v>
      </c>
    </row>
    <row r="972" spans="1:13" x14ac:dyDescent="0.35">
      <c r="A972" t="s">
        <v>1029</v>
      </c>
      <c r="B972" t="s">
        <v>26</v>
      </c>
      <c r="C972" t="s">
        <v>15</v>
      </c>
      <c r="D972" t="s">
        <v>58</v>
      </c>
      <c r="E972">
        <v>24532</v>
      </c>
      <c r="F972">
        <v>22533</v>
      </c>
      <c r="G972" s="16" t="s">
        <v>17</v>
      </c>
      <c r="H972" s="3">
        <v>45394</v>
      </c>
      <c r="I972" s="3">
        <v>45398</v>
      </c>
      <c r="J972" t="s">
        <v>18</v>
      </c>
      <c r="K972" t="s">
        <v>43</v>
      </c>
      <c r="L972">
        <v>4</v>
      </c>
      <c r="M972" t="s">
        <v>51</v>
      </c>
    </row>
    <row r="973" spans="1:13" x14ac:dyDescent="0.35">
      <c r="A973" t="s">
        <v>1030</v>
      </c>
      <c r="B973" t="s">
        <v>26</v>
      </c>
      <c r="C973" t="s">
        <v>64</v>
      </c>
      <c r="D973" t="s">
        <v>55</v>
      </c>
      <c r="E973">
        <v>41306</v>
      </c>
      <c r="F973">
        <v>39562</v>
      </c>
      <c r="G973" s="16" t="s">
        <v>17</v>
      </c>
      <c r="H973" s="3">
        <v>45588</v>
      </c>
      <c r="I973" s="3">
        <v>45598</v>
      </c>
      <c r="J973" t="s">
        <v>50</v>
      </c>
      <c r="K973" t="s">
        <v>19</v>
      </c>
      <c r="L973">
        <v>10</v>
      </c>
      <c r="M973" t="s">
        <v>76</v>
      </c>
    </row>
    <row r="974" spans="1:13" x14ac:dyDescent="0.35">
      <c r="A974" t="s">
        <v>1031</v>
      </c>
      <c r="B974" t="s">
        <v>96</v>
      </c>
      <c r="C974" t="s">
        <v>27</v>
      </c>
      <c r="D974" t="s">
        <v>34</v>
      </c>
      <c r="E974">
        <v>12635</v>
      </c>
      <c r="F974">
        <v>11705</v>
      </c>
      <c r="G974" s="16" t="s">
        <v>17</v>
      </c>
      <c r="H974" s="3">
        <v>45313</v>
      </c>
      <c r="I974" s="3">
        <v>45321</v>
      </c>
      <c r="J974" t="s">
        <v>18</v>
      </c>
      <c r="K974" t="s">
        <v>47</v>
      </c>
      <c r="L974">
        <v>8</v>
      </c>
      <c r="M974" t="s">
        <v>39</v>
      </c>
    </row>
    <row r="975" spans="1:13" x14ac:dyDescent="0.35">
      <c r="A975" t="s">
        <v>1032</v>
      </c>
      <c r="B975" t="s">
        <v>26</v>
      </c>
      <c r="C975" t="s">
        <v>46</v>
      </c>
      <c r="D975" t="s">
        <v>55</v>
      </c>
      <c r="E975">
        <v>42889</v>
      </c>
      <c r="F975">
        <v>42400</v>
      </c>
      <c r="G975" s="16" t="s">
        <v>17</v>
      </c>
      <c r="H975" s="3">
        <v>45538</v>
      </c>
      <c r="I975" s="3">
        <v>45544</v>
      </c>
      <c r="J975" t="s">
        <v>50</v>
      </c>
      <c r="K975" t="s">
        <v>47</v>
      </c>
      <c r="L975">
        <v>6</v>
      </c>
      <c r="M975" t="s">
        <v>24</v>
      </c>
    </row>
    <row r="976" spans="1:13" x14ac:dyDescent="0.35">
      <c r="A976" t="s">
        <v>1033</v>
      </c>
      <c r="B976" t="s">
        <v>22</v>
      </c>
      <c r="C976" t="s">
        <v>73</v>
      </c>
      <c r="D976" t="s">
        <v>23</v>
      </c>
      <c r="E976">
        <v>25777</v>
      </c>
      <c r="F976">
        <v>25626</v>
      </c>
      <c r="G976" s="16" t="s">
        <v>17</v>
      </c>
      <c r="H976" s="3">
        <v>45475</v>
      </c>
      <c r="I976" s="3">
        <v>45476</v>
      </c>
      <c r="J976" t="s">
        <v>18</v>
      </c>
      <c r="K976" t="s">
        <v>47</v>
      </c>
      <c r="L976">
        <v>1</v>
      </c>
      <c r="M976" t="s">
        <v>85</v>
      </c>
    </row>
    <row r="977" spans="1:13" x14ac:dyDescent="0.35">
      <c r="A977" t="s">
        <v>1034</v>
      </c>
      <c r="B977" t="s">
        <v>96</v>
      </c>
      <c r="C977" t="s">
        <v>64</v>
      </c>
      <c r="D977" t="s">
        <v>28</v>
      </c>
      <c r="E977">
        <v>43375</v>
      </c>
      <c r="F977">
        <v>0</v>
      </c>
      <c r="G977" s="16" t="s">
        <v>29</v>
      </c>
      <c r="H977" s="3">
        <v>45476</v>
      </c>
      <c r="I977" s="3"/>
      <c r="J977" t="s">
        <v>18</v>
      </c>
      <c r="K977" t="s">
        <v>47</v>
      </c>
      <c r="M977" t="s">
        <v>85</v>
      </c>
    </row>
    <row r="978" spans="1:13" x14ac:dyDescent="0.35">
      <c r="A978" t="s">
        <v>1035</v>
      </c>
      <c r="B978" t="s">
        <v>26</v>
      </c>
      <c r="C978" t="s">
        <v>46</v>
      </c>
      <c r="D978" t="s">
        <v>16</v>
      </c>
      <c r="E978">
        <v>13412</v>
      </c>
      <c r="F978">
        <v>11599</v>
      </c>
      <c r="G978" s="16" t="s">
        <v>17</v>
      </c>
      <c r="H978" s="3">
        <v>45426</v>
      </c>
      <c r="I978" s="3">
        <v>45429</v>
      </c>
      <c r="J978" t="s">
        <v>50</v>
      </c>
      <c r="K978" t="s">
        <v>30</v>
      </c>
      <c r="L978">
        <v>3</v>
      </c>
      <c r="M978" t="s">
        <v>31</v>
      </c>
    </row>
    <row r="979" spans="1:13" x14ac:dyDescent="0.35">
      <c r="A979" t="s">
        <v>1036</v>
      </c>
      <c r="B979" t="s">
        <v>79</v>
      </c>
      <c r="C979" t="s">
        <v>46</v>
      </c>
      <c r="D979" t="s">
        <v>61</v>
      </c>
      <c r="E979">
        <v>14844</v>
      </c>
      <c r="F979">
        <v>14484</v>
      </c>
      <c r="G979" s="16" t="s">
        <v>17</v>
      </c>
      <c r="H979" s="3">
        <v>45426</v>
      </c>
      <c r="I979" s="3">
        <v>45428</v>
      </c>
      <c r="J979" t="s">
        <v>18</v>
      </c>
      <c r="K979" t="s">
        <v>30</v>
      </c>
      <c r="L979">
        <v>2</v>
      </c>
      <c r="M979" t="s">
        <v>31</v>
      </c>
    </row>
    <row r="980" spans="1:13" x14ac:dyDescent="0.35">
      <c r="A980" t="s">
        <v>1037</v>
      </c>
      <c r="B980" t="s">
        <v>33</v>
      </c>
      <c r="C980" t="s">
        <v>27</v>
      </c>
      <c r="D980" t="s">
        <v>70</v>
      </c>
      <c r="E980">
        <v>24176</v>
      </c>
      <c r="F980">
        <v>23552</v>
      </c>
      <c r="G980" s="16" t="s">
        <v>17</v>
      </c>
      <c r="H980" s="3">
        <v>45525</v>
      </c>
      <c r="I980" s="3">
        <v>45529</v>
      </c>
      <c r="J980" t="s">
        <v>50</v>
      </c>
      <c r="K980" t="s">
        <v>30</v>
      </c>
      <c r="L980">
        <v>4</v>
      </c>
      <c r="M980" t="s">
        <v>44</v>
      </c>
    </row>
    <row r="981" spans="1:13" x14ac:dyDescent="0.35">
      <c r="A981" t="s">
        <v>1038</v>
      </c>
      <c r="B981" t="s">
        <v>41</v>
      </c>
      <c r="C981" t="s">
        <v>73</v>
      </c>
      <c r="D981" t="s">
        <v>58</v>
      </c>
      <c r="E981">
        <v>48592</v>
      </c>
      <c r="F981">
        <v>48350</v>
      </c>
      <c r="G981" s="16" t="s">
        <v>17</v>
      </c>
      <c r="H981" s="3">
        <v>45365</v>
      </c>
      <c r="I981" s="3">
        <v>45368</v>
      </c>
      <c r="J981" t="s">
        <v>18</v>
      </c>
      <c r="K981" t="s">
        <v>47</v>
      </c>
      <c r="L981">
        <v>3</v>
      </c>
      <c r="M981" t="s">
        <v>67</v>
      </c>
    </row>
    <row r="982" spans="1:13" x14ac:dyDescent="0.35">
      <c r="A982" t="s">
        <v>1039</v>
      </c>
      <c r="B982" t="s">
        <v>79</v>
      </c>
      <c r="C982" t="s">
        <v>27</v>
      </c>
      <c r="D982" t="s">
        <v>34</v>
      </c>
      <c r="E982">
        <v>22837</v>
      </c>
      <c r="F982">
        <v>0</v>
      </c>
      <c r="G982" s="16" t="s">
        <v>29</v>
      </c>
      <c r="H982" s="3">
        <v>45511</v>
      </c>
      <c r="I982" s="3"/>
      <c r="J982" t="s">
        <v>18</v>
      </c>
      <c r="K982" t="s">
        <v>47</v>
      </c>
      <c r="M982" t="s">
        <v>44</v>
      </c>
    </row>
    <row r="983" spans="1:13" x14ac:dyDescent="0.35">
      <c r="A983" t="s">
        <v>1040</v>
      </c>
      <c r="B983" t="s">
        <v>53</v>
      </c>
      <c r="C983" t="s">
        <v>46</v>
      </c>
      <c r="D983" t="s">
        <v>16</v>
      </c>
      <c r="E983">
        <v>11736</v>
      </c>
      <c r="F983">
        <v>11230</v>
      </c>
      <c r="G983" s="16" t="s">
        <v>17</v>
      </c>
      <c r="H983" s="3">
        <v>45319</v>
      </c>
      <c r="I983" s="3">
        <v>45324</v>
      </c>
      <c r="J983" t="s">
        <v>18</v>
      </c>
      <c r="K983" t="s">
        <v>30</v>
      </c>
      <c r="L983">
        <v>5</v>
      </c>
      <c r="M983" t="s">
        <v>39</v>
      </c>
    </row>
    <row r="984" spans="1:13" x14ac:dyDescent="0.35">
      <c r="A984" t="s">
        <v>1041</v>
      </c>
      <c r="B984" t="s">
        <v>79</v>
      </c>
      <c r="C984" t="s">
        <v>64</v>
      </c>
      <c r="D984" t="s">
        <v>28</v>
      </c>
      <c r="E984">
        <v>49664</v>
      </c>
      <c r="F984">
        <v>48058</v>
      </c>
      <c r="G984" s="16" t="s">
        <v>17</v>
      </c>
      <c r="H984" s="3">
        <v>45532</v>
      </c>
      <c r="I984" s="3">
        <v>45542</v>
      </c>
      <c r="J984" t="s">
        <v>18</v>
      </c>
      <c r="K984" t="s">
        <v>47</v>
      </c>
      <c r="L984">
        <v>10</v>
      </c>
      <c r="M984" t="s">
        <v>44</v>
      </c>
    </row>
    <row r="985" spans="1:13" x14ac:dyDescent="0.35">
      <c r="A985" t="s">
        <v>1042</v>
      </c>
      <c r="B985" t="s">
        <v>79</v>
      </c>
      <c r="C985" t="s">
        <v>27</v>
      </c>
      <c r="D985" t="s">
        <v>34</v>
      </c>
      <c r="E985">
        <v>34675</v>
      </c>
      <c r="F985">
        <v>0</v>
      </c>
      <c r="G985" s="16" t="s">
        <v>29</v>
      </c>
      <c r="H985" s="3">
        <v>45529</v>
      </c>
      <c r="I985" s="3"/>
      <c r="J985" t="s">
        <v>18</v>
      </c>
      <c r="K985" t="s">
        <v>43</v>
      </c>
      <c r="M985" t="s">
        <v>44</v>
      </c>
    </row>
    <row r="986" spans="1:13" x14ac:dyDescent="0.35">
      <c r="A986" t="s">
        <v>1043</v>
      </c>
      <c r="B986" t="s">
        <v>41</v>
      </c>
      <c r="C986" t="s">
        <v>64</v>
      </c>
      <c r="D986" t="s">
        <v>55</v>
      </c>
      <c r="E986">
        <v>33048</v>
      </c>
      <c r="F986">
        <v>31858</v>
      </c>
      <c r="G986" s="16" t="s">
        <v>17</v>
      </c>
      <c r="H986" s="3">
        <v>45497</v>
      </c>
      <c r="I986" s="3">
        <v>45507</v>
      </c>
      <c r="J986" t="s">
        <v>18</v>
      </c>
      <c r="K986" t="s">
        <v>47</v>
      </c>
      <c r="L986">
        <v>10</v>
      </c>
      <c r="M986" t="s">
        <v>85</v>
      </c>
    </row>
    <row r="987" spans="1:13" x14ac:dyDescent="0.35">
      <c r="A987" t="s">
        <v>1044</v>
      </c>
      <c r="B987" t="s">
        <v>26</v>
      </c>
      <c r="C987" t="s">
        <v>46</v>
      </c>
      <c r="D987" t="s">
        <v>55</v>
      </c>
      <c r="E987">
        <v>17360</v>
      </c>
      <c r="F987">
        <v>16913</v>
      </c>
      <c r="G987" s="16" t="s">
        <v>17</v>
      </c>
      <c r="H987" s="3">
        <v>45448</v>
      </c>
      <c r="I987" s="3">
        <v>45455</v>
      </c>
      <c r="J987" t="s">
        <v>50</v>
      </c>
      <c r="K987" t="s">
        <v>19</v>
      </c>
      <c r="L987">
        <v>7</v>
      </c>
      <c r="M987" t="s">
        <v>36</v>
      </c>
    </row>
    <row r="988" spans="1:13" x14ac:dyDescent="0.35">
      <c r="A988" t="s">
        <v>1045</v>
      </c>
      <c r="B988" t="s">
        <v>33</v>
      </c>
      <c r="C988" t="s">
        <v>38</v>
      </c>
      <c r="D988" t="s">
        <v>16</v>
      </c>
      <c r="E988">
        <v>38080</v>
      </c>
      <c r="F988">
        <v>37805</v>
      </c>
      <c r="G988" s="16" t="s">
        <v>17</v>
      </c>
      <c r="H988" s="3">
        <v>45335</v>
      </c>
      <c r="I988" s="3">
        <v>45340</v>
      </c>
      <c r="J988" t="s">
        <v>50</v>
      </c>
      <c r="K988" t="s">
        <v>19</v>
      </c>
      <c r="L988">
        <v>5</v>
      </c>
      <c r="M988" t="s">
        <v>20</v>
      </c>
    </row>
    <row r="989" spans="1:13" x14ac:dyDescent="0.35">
      <c r="A989" t="s">
        <v>1046</v>
      </c>
      <c r="B989" t="s">
        <v>41</v>
      </c>
      <c r="C989" t="s">
        <v>46</v>
      </c>
      <c r="D989" t="s">
        <v>23</v>
      </c>
      <c r="E989">
        <v>32490</v>
      </c>
      <c r="F989">
        <v>0</v>
      </c>
      <c r="G989" s="16" t="s">
        <v>29</v>
      </c>
      <c r="H989" s="3">
        <v>45610</v>
      </c>
      <c r="I989" s="3"/>
      <c r="J989" t="s">
        <v>50</v>
      </c>
      <c r="K989" t="s">
        <v>35</v>
      </c>
      <c r="M989" t="s">
        <v>48</v>
      </c>
    </row>
    <row r="990" spans="1:13" x14ac:dyDescent="0.35">
      <c r="A990" t="s">
        <v>1047</v>
      </c>
      <c r="B990" t="s">
        <v>72</v>
      </c>
      <c r="C990" t="s">
        <v>64</v>
      </c>
      <c r="D990" t="s">
        <v>58</v>
      </c>
      <c r="E990">
        <v>28801</v>
      </c>
      <c r="F990">
        <v>27154</v>
      </c>
      <c r="G990" s="16" t="s">
        <v>17</v>
      </c>
      <c r="H990" s="3">
        <v>45546</v>
      </c>
      <c r="I990" s="3">
        <v>45552</v>
      </c>
      <c r="J990" t="s">
        <v>50</v>
      </c>
      <c r="K990" t="s">
        <v>35</v>
      </c>
      <c r="L990">
        <v>6</v>
      </c>
      <c r="M990" t="s">
        <v>24</v>
      </c>
    </row>
    <row r="991" spans="1:13" x14ac:dyDescent="0.35">
      <c r="A991" t="s">
        <v>1048</v>
      </c>
      <c r="B991" t="s">
        <v>60</v>
      </c>
      <c r="C991" t="s">
        <v>73</v>
      </c>
      <c r="D991" t="s">
        <v>55</v>
      </c>
      <c r="E991">
        <v>17321</v>
      </c>
      <c r="F991">
        <v>16000</v>
      </c>
      <c r="G991" s="16" t="s">
        <v>17</v>
      </c>
      <c r="H991" s="3">
        <v>45330</v>
      </c>
      <c r="I991" s="3">
        <v>45336</v>
      </c>
      <c r="J991" t="s">
        <v>18</v>
      </c>
      <c r="K991" t="s">
        <v>43</v>
      </c>
      <c r="L991">
        <v>6</v>
      </c>
      <c r="M991" t="s">
        <v>20</v>
      </c>
    </row>
    <row r="992" spans="1:13" x14ac:dyDescent="0.35">
      <c r="A992" t="s">
        <v>1049</v>
      </c>
      <c r="B992" t="s">
        <v>79</v>
      </c>
      <c r="C992" t="s">
        <v>15</v>
      </c>
      <c r="D992" t="s">
        <v>16</v>
      </c>
      <c r="E992">
        <v>16925</v>
      </c>
      <c r="F992">
        <v>16683</v>
      </c>
      <c r="G992" s="16" t="s">
        <v>17</v>
      </c>
      <c r="H992" s="3">
        <v>45328</v>
      </c>
      <c r="I992" s="3">
        <v>45334</v>
      </c>
      <c r="J992" t="s">
        <v>18</v>
      </c>
      <c r="K992" t="s">
        <v>19</v>
      </c>
      <c r="L992">
        <v>6</v>
      </c>
      <c r="M992" t="s">
        <v>20</v>
      </c>
    </row>
    <row r="993" spans="1:13" x14ac:dyDescent="0.35">
      <c r="A993" t="s">
        <v>1050</v>
      </c>
      <c r="B993" t="s">
        <v>26</v>
      </c>
      <c r="C993" t="s">
        <v>38</v>
      </c>
      <c r="D993" t="s">
        <v>28</v>
      </c>
      <c r="E993">
        <v>46243</v>
      </c>
      <c r="F993">
        <v>45731</v>
      </c>
      <c r="G993" s="16" t="s">
        <v>17</v>
      </c>
      <c r="H993" s="3">
        <v>45446</v>
      </c>
      <c r="I993" s="3">
        <v>45451</v>
      </c>
      <c r="J993" t="s">
        <v>18</v>
      </c>
      <c r="K993" t="s">
        <v>56</v>
      </c>
      <c r="L993">
        <v>5</v>
      </c>
      <c r="M993" t="s">
        <v>36</v>
      </c>
    </row>
    <row r="994" spans="1:13" x14ac:dyDescent="0.35">
      <c r="A994" t="s">
        <v>1051</v>
      </c>
      <c r="B994" t="s">
        <v>53</v>
      </c>
      <c r="C994" t="s">
        <v>73</v>
      </c>
      <c r="D994" t="s">
        <v>16</v>
      </c>
      <c r="E994">
        <v>2559</v>
      </c>
      <c r="F994">
        <v>1982</v>
      </c>
      <c r="G994" s="16" t="s">
        <v>17</v>
      </c>
      <c r="H994" s="3">
        <v>45469</v>
      </c>
      <c r="I994" s="3">
        <v>45476</v>
      </c>
      <c r="J994" t="s">
        <v>50</v>
      </c>
      <c r="K994" t="s">
        <v>30</v>
      </c>
      <c r="L994">
        <v>7</v>
      </c>
      <c r="M994" t="s">
        <v>36</v>
      </c>
    </row>
    <row r="995" spans="1:13" x14ac:dyDescent="0.35">
      <c r="A995" t="s">
        <v>1052</v>
      </c>
      <c r="B995" t="s">
        <v>53</v>
      </c>
      <c r="C995" t="s">
        <v>15</v>
      </c>
      <c r="D995" t="s">
        <v>55</v>
      </c>
      <c r="E995">
        <v>44866</v>
      </c>
      <c r="F995">
        <v>0</v>
      </c>
      <c r="G995" s="16" t="s">
        <v>29</v>
      </c>
      <c r="H995" s="3">
        <v>45368</v>
      </c>
      <c r="I995" s="3"/>
      <c r="J995" t="s">
        <v>50</v>
      </c>
      <c r="K995" t="s">
        <v>47</v>
      </c>
      <c r="M995" t="s">
        <v>67</v>
      </c>
    </row>
    <row r="996" spans="1:13" x14ac:dyDescent="0.35">
      <c r="A996" t="s">
        <v>1053</v>
      </c>
      <c r="B996" t="s">
        <v>26</v>
      </c>
      <c r="C996" t="s">
        <v>46</v>
      </c>
      <c r="D996" t="s">
        <v>55</v>
      </c>
      <c r="E996">
        <v>17317</v>
      </c>
      <c r="F996">
        <v>0</v>
      </c>
      <c r="G996" s="16" t="s">
        <v>29</v>
      </c>
      <c r="H996" s="3">
        <v>45592</v>
      </c>
      <c r="I996" s="3"/>
      <c r="J996" t="s">
        <v>50</v>
      </c>
      <c r="K996" t="s">
        <v>56</v>
      </c>
      <c r="M996" t="s">
        <v>76</v>
      </c>
    </row>
    <row r="997" spans="1:13" x14ac:dyDescent="0.35">
      <c r="A997" t="s">
        <v>1054</v>
      </c>
      <c r="B997" t="s">
        <v>72</v>
      </c>
      <c r="C997" t="s">
        <v>38</v>
      </c>
      <c r="D997" t="s">
        <v>70</v>
      </c>
      <c r="E997">
        <v>22517</v>
      </c>
      <c r="F997">
        <v>21639</v>
      </c>
      <c r="G997" s="16" t="s">
        <v>17</v>
      </c>
      <c r="H997" s="3">
        <v>45649</v>
      </c>
      <c r="I997" s="3">
        <v>45656</v>
      </c>
      <c r="J997" t="s">
        <v>18</v>
      </c>
      <c r="K997" t="s">
        <v>35</v>
      </c>
      <c r="L997">
        <v>7</v>
      </c>
      <c r="M997" t="s">
        <v>62</v>
      </c>
    </row>
    <row r="998" spans="1:13" x14ac:dyDescent="0.35">
      <c r="A998" t="s">
        <v>1055</v>
      </c>
      <c r="B998" t="s">
        <v>72</v>
      </c>
      <c r="C998" t="s">
        <v>15</v>
      </c>
      <c r="D998" t="s">
        <v>34</v>
      </c>
      <c r="E998">
        <v>11106</v>
      </c>
      <c r="F998">
        <v>0</v>
      </c>
      <c r="G998" s="16" t="s">
        <v>29</v>
      </c>
      <c r="H998" s="3">
        <v>45357</v>
      </c>
      <c r="I998" s="3"/>
      <c r="J998" t="s">
        <v>50</v>
      </c>
      <c r="K998" t="s">
        <v>56</v>
      </c>
      <c r="M998" t="s">
        <v>67</v>
      </c>
    </row>
    <row r="999" spans="1:13" x14ac:dyDescent="0.35">
      <c r="A999" t="s">
        <v>1056</v>
      </c>
      <c r="B999" t="s">
        <v>60</v>
      </c>
      <c r="C999" t="s">
        <v>64</v>
      </c>
      <c r="D999" t="s">
        <v>34</v>
      </c>
      <c r="E999">
        <v>24270</v>
      </c>
      <c r="F999">
        <v>23412</v>
      </c>
      <c r="G999" s="16" t="s">
        <v>17</v>
      </c>
      <c r="H999" s="3">
        <v>45509</v>
      </c>
      <c r="I999" s="3">
        <v>45516</v>
      </c>
      <c r="J999" t="s">
        <v>50</v>
      </c>
      <c r="K999" t="s">
        <v>43</v>
      </c>
      <c r="L999">
        <v>7</v>
      </c>
      <c r="M999" t="s">
        <v>44</v>
      </c>
    </row>
    <row r="1000" spans="1:13" x14ac:dyDescent="0.35">
      <c r="A1000" t="s">
        <v>1057</v>
      </c>
      <c r="B1000" t="s">
        <v>53</v>
      </c>
      <c r="C1000" t="s">
        <v>15</v>
      </c>
      <c r="D1000" t="s">
        <v>23</v>
      </c>
      <c r="E1000">
        <v>11118</v>
      </c>
      <c r="F1000">
        <v>9167</v>
      </c>
      <c r="G1000" s="16" t="s">
        <v>17</v>
      </c>
      <c r="H1000" s="3">
        <v>45461</v>
      </c>
      <c r="I1000" s="3">
        <v>45471</v>
      </c>
      <c r="J1000" t="s">
        <v>50</v>
      </c>
      <c r="K1000" t="s">
        <v>35</v>
      </c>
      <c r="L1000">
        <v>10</v>
      </c>
      <c r="M1000" t="s">
        <v>36</v>
      </c>
    </row>
    <row r="1001" spans="1:13" x14ac:dyDescent="0.35">
      <c r="A1001" t="s">
        <v>1058</v>
      </c>
      <c r="B1001" t="s">
        <v>26</v>
      </c>
      <c r="C1001" t="s">
        <v>27</v>
      </c>
      <c r="D1001" t="s">
        <v>70</v>
      </c>
      <c r="E1001">
        <v>37028</v>
      </c>
      <c r="F1001">
        <v>36643</v>
      </c>
      <c r="G1001" s="16" t="s">
        <v>17</v>
      </c>
      <c r="H1001" s="3">
        <v>45535</v>
      </c>
      <c r="I1001" s="3">
        <v>45537</v>
      </c>
      <c r="J1001" t="s">
        <v>50</v>
      </c>
      <c r="K1001" t="s">
        <v>19</v>
      </c>
      <c r="L1001">
        <v>2</v>
      </c>
      <c r="M1001" t="s">
        <v>44</v>
      </c>
    </row>
    <row r="1002" spans="1:13" x14ac:dyDescent="0.35">
      <c r="A1002" t="s">
        <v>1059</v>
      </c>
      <c r="B1002" t="s">
        <v>72</v>
      </c>
      <c r="C1002" t="s">
        <v>38</v>
      </c>
      <c r="D1002" t="s">
        <v>70</v>
      </c>
      <c r="E1002">
        <v>13234</v>
      </c>
      <c r="F1002">
        <v>11852</v>
      </c>
      <c r="G1002" s="16" t="s">
        <v>17</v>
      </c>
      <c r="H1002" s="3">
        <v>45575</v>
      </c>
      <c r="I1002" s="3">
        <v>45578</v>
      </c>
      <c r="J1002" t="s">
        <v>18</v>
      </c>
      <c r="K1002" t="s">
        <v>30</v>
      </c>
      <c r="L1002">
        <v>3</v>
      </c>
      <c r="M1002" t="s">
        <v>76</v>
      </c>
    </row>
    <row r="1003" spans="1:13" x14ac:dyDescent="0.35">
      <c r="A1003" t="s">
        <v>1060</v>
      </c>
      <c r="B1003" t="s">
        <v>53</v>
      </c>
      <c r="C1003" t="s">
        <v>64</v>
      </c>
      <c r="D1003" t="s">
        <v>23</v>
      </c>
      <c r="E1003">
        <v>14235</v>
      </c>
      <c r="F1003">
        <v>14093</v>
      </c>
      <c r="G1003" s="16" t="s">
        <v>17</v>
      </c>
      <c r="H1003" s="3">
        <v>45489</v>
      </c>
      <c r="I1003" s="3">
        <v>45494</v>
      </c>
      <c r="J1003" t="s">
        <v>18</v>
      </c>
      <c r="K1003" t="s">
        <v>47</v>
      </c>
      <c r="L1003">
        <v>5</v>
      </c>
      <c r="M1003" t="s">
        <v>85</v>
      </c>
    </row>
    <row r="1004" spans="1:13" x14ac:dyDescent="0.35">
      <c r="A1004" t="s">
        <v>1061</v>
      </c>
      <c r="B1004" t="s">
        <v>96</v>
      </c>
      <c r="C1004" t="s">
        <v>15</v>
      </c>
      <c r="D1004" t="s">
        <v>55</v>
      </c>
      <c r="E1004">
        <v>5765</v>
      </c>
      <c r="F1004">
        <v>4704</v>
      </c>
      <c r="G1004" s="16" t="s">
        <v>17</v>
      </c>
      <c r="H1004" s="3">
        <v>45297</v>
      </c>
      <c r="I1004" s="3">
        <v>45300</v>
      </c>
      <c r="J1004" t="s">
        <v>50</v>
      </c>
      <c r="K1004" t="s">
        <v>30</v>
      </c>
      <c r="L1004">
        <v>3</v>
      </c>
      <c r="M1004" t="s">
        <v>39</v>
      </c>
    </row>
    <row r="1005" spans="1:13" x14ac:dyDescent="0.35">
      <c r="A1005" t="s">
        <v>1062</v>
      </c>
      <c r="B1005" t="s">
        <v>22</v>
      </c>
      <c r="C1005" t="s">
        <v>27</v>
      </c>
      <c r="D1005" t="s">
        <v>61</v>
      </c>
      <c r="E1005">
        <v>9257</v>
      </c>
      <c r="F1005">
        <v>8159</v>
      </c>
      <c r="G1005" s="16" t="s">
        <v>17</v>
      </c>
      <c r="H1005" s="3">
        <v>45506</v>
      </c>
      <c r="I1005" s="3">
        <v>45514</v>
      </c>
      <c r="J1005" t="s">
        <v>18</v>
      </c>
      <c r="K1005" t="s">
        <v>35</v>
      </c>
      <c r="L1005">
        <v>8</v>
      </c>
      <c r="M1005" t="s">
        <v>44</v>
      </c>
    </row>
    <row r="1006" spans="1:13" x14ac:dyDescent="0.35">
      <c r="A1006" t="s">
        <v>1063</v>
      </c>
      <c r="B1006" t="s">
        <v>26</v>
      </c>
      <c r="C1006" t="s">
        <v>73</v>
      </c>
      <c r="D1006" t="s">
        <v>28</v>
      </c>
      <c r="E1006">
        <v>22300</v>
      </c>
      <c r="F1006">
        <v>20625</v>
      </c>
      <c r="G1006" s="16" t="s">
        <v>17</v>
      </c>
      <c r="H1006" s="3">
        <v>45655</v>
      </c>
      <c r="I1006" s="3">
        <v>45663</v>
      </c>
      <c r="J1006" t="s">
        <v>18</v>
      </c>
      <c r="K1006" t="s">
        <v>19</v>
      </c>
      <c r="L1006">
        <v>8</v>
      </c>
      <c r="M1006" t="s">
        <v>62</v>
      </c>
    </row>
    <row r="1007" spans="1:13" x14ac:dyDescent="0.35">
      <c r="A1007" t="s">
        <v>1064</v>
      </c>
      <c r="B1007" t="s">
        <v>53</v>
      </c>
      <c r="C1007" t="s">
        <v>38</v>
      </c>
      <c r="D1007" t="s">
        <v>28</v>
      </c>
      <c r="E1007">
        <v>34930</v>
      </c>
      <c r="F1007">
        <v>34366</v>
      </c>
      <c r="G1007" s="16" t="s">
        <v>17</v>
      </c>
      <c r="H1007" s="3">
        <v>45395</v>
      </c>
      <c r="I1007" s="3">
        <v>45396</v>
      </c>
      <c r="J1007" t="s">
        <v>18</v>
      </c>
      <c r="K1007" t="s">
        <v>35</v>
      </c>
      <c r="L1007">
        <v>1</v>
      </c>
      <c r="M1007" t="s">
        <v>51</v>
      </c>
    </row>
    <row r="1008" spans="1:13" x14ac:dyDescent="0.35">
      <c r="A1008" t="s">
        <v>1065</v>
      </c>
      <c r="B1008" t="s">
        <v>14</v>
      </c>
      <c r="C1008" t="s">
        <v>27</v>
      </c>
      <c r="D1008" t="s">
        <v>28</v>
      </c>
      <c r="E1008">
        <v>36462</v>
      </c>
      <c r="F1008">
        <v>34598</v>
      </c>
      <c r="G1008" s="16" t="s">
        <v>17</v>
      </c>
      <c r="H1008" s="3">
        <v>45583</v>
      </c>
      <c r="I1008" s="3">
        <v>45591</v>
      </c>
      <c r="J1008" t="s">
        <v>50</v>
      </c>
      <c r="K1008" t="s">
        <v>35</v>
      </c>
      <c r="L1008">
        <v>8</v>
      </c>
      <c r="M1008" t="s">
        <v>76</v>
      </c>
    </row>
    <row r="1009" spans="1:13" x14ac:dyDescent="0.35">
      <c r="A1009" t="s">
        <v>1066</v>
      </c>
      <c r="B1009" t="s">
        <v>53</v>
      </c>
      <c r="C1009" t="s">
        <v>15</v>
      </c>
      <c r="D1009" t="s">
        <v>70</v>
      </c>
      <c r="E1009">
        <v>20868</v>
      </c>
      <c r="F1009">
        <v>20158</v>
      </c>
      <c r="G1009" s="16" t="s">
        <v>17</v>
      </c>
      <c r="H1009" s="3">
        <v>45650</v>
      </c>
      <c r="I1009" s="3">
        <v>45655</v>
      </c>
      <c r="J1009" t="s">
        <v>50</v>
      </c>
      <c r="K1009" t="s">
        <v>19</v>
      </c>
      <c r="L1009">
        <v>5</v>
      </c>
      <c r="M1009" t="s">
        <v>62</v>
      </c>
    </row>
    <row r="1010" spans="1:13" x14ac:dyDescent="0.35">
      <c r="A1010" t="s">
        <v>1067</v>
      </c>
      <c r="B1010" t="s">
        <v>33</v>
      </c>
      <c r="C1010" t="s">
        <v>27</v>
      </c>
      <c r="D1010" t="s">
        <v>28</v>
      </c>
      <c r="E1010">
        <v>13768</v>
      </c>
      <c r="F1010">
        <v>0</v>
      </c>
      <c r="G1010" s="16" t="s">
        <v>29</v>
      </c>
      <c r="H1010" s="3">
        <v>45513</v>
      </c>
      <c r="I1010" s="3"/>
      <c r="J1010" t="s">
        <v>50</v>
      </c>
      <c r="K1010" t="s">
        <v>35</v>
      </c>
      <c r="M1010" t="s">
        <v>44</v>
      </c>
    </row>
    <row r="1011" spans="1:13" x14ac:dyDescent="0.35">
      <c r="A1011" t="s">
        <v>1068</v>
      </c>
      <c r="B1011" t="s">
        <v>33</v>
      </c>
      <c r="C1011" t="s">
        <v>15</v>
      </c>
      <c r="D1011" t="s">
        <v>58</v>
      </c>
      <c r="E1011">
        <v>47786</v>
      </c>
      <c r="F1011">
        <v>47296</v>
      </c>
      <c r="G1011" s="16" t="s">
        <v>17</v>
      </c>
      <c r="H1011" s="3">
        <v>45372</v>
      </c>
      <c r="I1011" s="3">
        <v>45377</v>
      </c>
      <c r="J1011" t="s">
        <v>50</v>
      </c>
      <c r="K1011" t="s">
        <v>56</v>
      </c>
      <c r="L1011">
        <v>5</v>
      </c>
      <c r="M1011" t="s">
        <v>67</v>
      </c>
    </row>
    <row r="1012" spans="1:13" x14ac:dyDescent="0.35">
      <c r="A1012" t="s">
        <v>1069</v>
      </c>
      <c r="B1012" t="s">
        <v>14</v>
      </c>
      <c r="C1012" t="s">
        <v>46</v>
      </c>
      <c r="D1012" t="s">
        <v>55</v>
      </c>
      <c r="E1012">
        <v>28953</v>
      </c>
      <c r="F1012">
        <v>0</v>
      </c>
      <c r="G1012" s="16" t="s">
        <v>29</v>
      </c>
      <c r="H1012" s="3">
        <v>45354</v>
      </c>
      <c r="I1012" s="3"/>
      <c r="J1012" t="s">
        <v>50</v>
      </c>
      <c r="K1012" t="s">
        <v>47</v>
      </c>
      <c r="M1012" t="s">
        <v>67</v>
      </c>
    </row>
    <row r="1013" spans="1:13" x14ac:dyDescent="0.35">
      <c r="A1013" t="s">
        <v>1070</v>
      </c>
      <c r="B1013" t="s">
        <v>14</v>
      </c>
      <c r="C1013" t="s">
        <v>38</v>
      </c>
      <c r="D1013" t="s">
        <v>58</v>
      </c>
      <c r="E1013">
        <v>31552</v>
      </c>
      <c r="F1013">
        <v>31035</v>
      </c>
      <c r="G1013" s="16" t="s">
        <v>17</v>
      </c>
      <c r="H1013" s="3">
        <v>45398</v>
      </c>
      <c r="I1013" s="3">
        <v>45407</v>
      </c>
      <c r="J1013" t="s">
        <v>18</v>
      </c>
      <c r="K1013" t="s">
        <v>35</v>
      </c>
      <c r="L1013">
        <v>9</v>
      </c>
      <c r="M1013" t="s">
        <v>51</v>
      </c>
    </row>
    <row r="1014" spans="1:13" x14ac:dyDescent="0.35">
      <c r="A1014" t="s">
        <v>1071</v>
      </c>
      <c r="B1014" t="s">
        <v>60</v>
      </c>
      <c r="C1014" t="s">
        <v>15</v>
      </c>
      <c r="D1014" t="s">
        <v>55</v>
      </c>
      <c r="E1014">
        <v>26979</v>
      </c>
      <c r="F1014">
        <v>25452</v>
      </c>
      <c r="G1014" s="16" t="s">
        <v>17</v>
      </c>
      <c r="H1014" s="3">
        <v>45496</v>
      </c>
      <c r="I1014" s="3">
        <v>45500</v>
      </c>
      <c r="J1014" t="s">
        <v>50</v>
      </c>
      <c r="K1014" t="s">
        <v>47</v>
      </c>
      <c r="L1014">
        <v>4</v>
      </c>
      <c r="M1014" t="s">
        <v>85</v>
      </c>
    </row>
    <row r="1015" spans="1:13" x14ac:dyDescent="0.35">
      <c r="A1015" t="s">
        <v>1072</v>
      </c>
      <c r="B1015" t="s">
        <v>60</v>
      </c>
      <c r="C1015" t="s">
        <v>38</v>
      </c>
      <c r="D1015" t="s">
        <v>70</v>
      </c>
      <c r="E1015">
        <v>48471</v>
      </c>
      <c r="F1015">
        <v>47802</v>
      </c>
      <c r="G1015" s="16" t="s">
        <v>17</v>
      </c>
      <c r="H1015" s="3">
        <v>45635</v>
      </c>
      <c r="I1015" s="3">
        <v>45643</v>
      </c>
      <c r="J1015" t="s">
        <v>50</v>
      </c>
      <c r="K1015" t="s">
        <v>35</v>
      </c>
      <c r="L1015">
        <v>8</v>
      </c>
      <c r="M1015" t="s">
        <v>62</v>
      </c>
    </row>
    <row r="1016" spans="1:13" x14ac:dyDescent="0.35">
      <c r="A1016" t="s">
        <v>1073</v>
      </c>
      <c r="B1016" t="s">
        <v>14</v>
      </c>
      <c r="C1016" t="s">
        <v>15</v>
      </c>
      <c r="D1016" t="s">
        <v>28</v>
      </c>
      <c r="E1016">
        <v>48765</v>
      </c>
      <c r="F1016">
        <v>48478</v>
      </c>
      <c r="G1016" s="16" t="s">
        <v>17</v>
      </c>
      <c r="H1016" s="3">
        <v>45533</v>
      </c>
      <c r="I1016" s="3">
        <v>45538</v>
      </c>
      <c r="J1016" t="s">
        <v>18</v>
      </c>
      <c r="K1016" t="s">
        <v>47</v>
      </c>
      <c r="L1016">
        <v>5</v>
      </c>
      <c r="M1016" t="s">
        <v>44</v>
      </c>
    </row>
    <row r="1017" spans="1:13" x14ac:dyDescent="0.35">
      <c r="A1017" t="s">
        <v>1074</v>
      </c>
      <c r="B1017" t="s">
        <v>60</v>
      </c>
      <c r="C1017" t="s">
        <v>15</v>
      </c>
      <c r="D1017" t="s">
        <v>61</v>
      </c>
      <c r="E1017">
        <v>21277</v>
      </c>
      <c r="F1017">
        <v>20183</v>
      </c>
      <c r="G1017" s="16" t="s">
        <v>17</v>
      </c>
      <c r="H1017" s="3">
        <v>45492</v>
      </c>
      <c r="I1017" s="3">
        <v>45495</v>
      </c>
      <c r="J1017" t="s">
        <v>18</v>
      </c>
      <c r="K1017" t="s">
        <v>56</v>
      </c>
      <c r="L1017">
        <v>3</v>
      </c>
      <c r="M1017" t="s">
        <v>85</v>
      </c>
    </row>
    <row r="1018" spans="1:13" x14ac:dyDescent="0.35">
      <c r="A1018" t="s">
        <v>1075</v>
      </c>
      <c r="B1018" t="s">
        <v>60</v>
      </c>
      <c r="C1018" t="s">
        <v>38</v>
      </c>
      <c r="D1018" t="s">
        <v>61</v>
      </c>
      <c r="E1018">
        <v>30878</v>
      </c>
      <c r="F1018">
        <v>30514</v>
      </c>
      <c r="G1018" s="16" t="s">
        <v>17</v>
      </c>
      <c r="H1018" s="3">
        <v>45402</v>
      </c>
      <c r="I1018" s="3">
        <v>45403</v>
      </c>
      <c r="J1018" t="s">
        <v>18</v>
      </c>
      <c r="K1018" t="s">
        <v>35</v>
      </c>
      <c r="L1018">
        <v>1</v>
      </c>
      <c r="M1018" t="s">
        <v>51</v>
      </c>
    </row>
    <row r="1019" spans="1:13" x14ac:dyDescent="0.35">
      <c r="A1019" t="s">
        <v>1076</v>
      </c>
      <c r="B1019" t="s">
        <v>60</v>
      </c>
      <c r="C1019" t="s">
        <v>15</v>
      </c>
      <c r="D1019" t="s">
        <v>58</v>
      </c>
      <c r="E1019">
        <v>47242</v>
      </c>
      <c r="F1019">
        <v>46333</v>
      </c>
      <c r="G1019" s="16" t="s">
        <v>17</v>
      </c>
      <c r="H1019" s="3">
        <v>45318</v>
      </c>
      <c r="I1019" s="3">
        <v>45328</v>
      </c>
      <c r="J1019" t="s">
        <v>18</v>
      </c>
      <c r="K1019" t="s">
        <v>47</v>
      </c>
      <c r="L1019">
        <v>10</v>
      </c>
      <c r="M1019" t="s">
        <v>39</v>
      </c>
    </row>
    <row r="1020" spans="1:13" x14ac:dyDescent="0.35">
      <c r="A1020" t="s">
        <v>1077</v>
      </c>
      <c r="B1020" t="s">
        <v>22</v>
      </c>
      <c r="C1020" t="s">
        <v>46</v>
      </c>
      <c r="D1020" t="s">
        <v>28</v>
      </c>
      <c r="E1020">
        <v>26552</v>
      </c>
      <c r="F1020">
        <v>26143</v>
      </c>
      <c r="G1020" s="16" t="s">
        <v>17</v>
      </c>
      <c r="H1020" s="3">
        <v>45338</v>
      </c>
      <c r="I1020" s="3">
        <v>45339</v>
      </c>
      <c r="J1020" t="s">
        <v>50</v>
      </c>
      <c r="K1020" t="s">
        <v>47</v>
      </c>
      <c r="L1020">
        <v>1</v>
      </c>
      <c r="M1020" t="s">
        <v>20</v>
      </c>
    </row>
    <row r="1021" spans="1:13" x14ac:dyDescent="0.35">
      <c r="A1021" t="s">
        <v>1078</v>
      </c>
      <c r="B1021" t="s">
        <v>60</v>
      </c>
      <c r="C1021" t="s">
        <v>38</v>
      </c>
      <c r="D1021" t="s">
        <v>28</v>
      </c>
      <c r="E1021">
        <v>46561</v>
      </c>
      <c r="F1021">
        <v>46110</v>
      </c>
      <c r="G1021" s="16" t="s">
        <v>17</v>
      </c>
      <c r="H1021" s="3">
        <v>45341</v>
      </c>
      <c r="I1021" s="3">
        <v>45344</v>
      </c>
      <c r="J1021" t="s">
        <v>18</v>
      </c>
      <c r="K1021" t="s">
        <v>47</v>
      </c>
      <c r="L1021">
        <v>3</v>
      </c>
      <c r="M1021" t="s">
        <v>20</v>
      </c>
    </row>
    <row r="1022" spans="1:13" x14ac:dyDescent="0.35">
      <c r="A1022" t="s">
        <v>1079</v>
      </c>
      <c r="B1022" t="s">
        <v>22</v>
      </c>
      <c r="C1022" t="s">
        <v>15</v>
      </c>
      <c r="D1022" t="s">
        <v>34</v>
      </c>
      <c r="E1022">
        <v>23147</v>
      </c>
      <c r="F1022">
        <v>0</v>
      </c>
      <c r="G1022" s="16" t="s">
        <v>29</v>
      </c>
      <c r="H1022" s="3">
        <v>45612</v>
      </c>
      <c r="I1022" s="3"/>
      <c r="J1022" t="s">
        <v>18</v>
      </c>
      <c r="K1022" t="s">
        <v>19</v>
      </c>
      <c r="M1022" t="s">
        <v>48</v>
      </c>
    </row>
    <row r="1023" spans="1:13" x14ac:dyDescent="0.35">
      <c r="A1023" t="s">
        <v>1080</v>
      </c>
      <c r="B1023" t="s">
        <v>26</v>
      </c>
      <c r="C1023" t="s">
        <v>27</v>
      </c>
      <c r="D1023" t="s">
        <v>58</v>
      </c>
      <c r="E1023">
        <v>9917</v>
      </c>
      <c r="F1023">
        <v>9480</v>
      </c>
      <c r="G1023" s="16" t="s">
        <v>17</v>
      </c>
      <c r="H1023" s="3">
        <v>45346</v>
      </c>
      <c r="I1023" s="3">
        <v>45352</v>
      </c>
      <c r="J1023" t="s">
        <v>50</v>
      </c>
      <c r="K1023" t="s">
        <v>47</v>
      </c>
      <c r="L1023">
        <v>6</v>
      </c>
      <c r="M1023" t="s">
        <v>20</v>
      </c>
    </row>
    <row r="1024" spans="1:13" x14ac:dyDescent="0.35">
      <c r="A1024" t="s">
        <v>1081</v>
      </c>
      <c r="B1024" t="s">
        <v>60</v>
      </c>
      <c r="C1024" t="s">
        <v>27</v>
      </c>
      <c r="D1024" t="s">
        <v>34</v>
      </c>
      <c r="E1024">
        <v>2785</v>
      </c>
      <c r="F1024">
        <v>2350</v>
      </c>
      <c r="G1024" s="16" t="s">
        <v>17</v>
      </c>
      <c r="H1024" s="3">
        <v>45526</v>
      </c>
      <c r="I1024" s="3">
        <v>45530</v>
      </c>
      <c r="J1024" t="s">
        <v>18</v>
      </c>
      <c r="K1024" t="s">
        <v>56</v>
      </c>
      <c r="L1024">
        <v>4</v>
      </c>
      <c r="M1024" t="s">
        <v>44</v>
      </c>
    </row>
    <row r="1025" spans="1:13" x14ac:dyDescent="0.35">
      <c r="A1025" t="s">
        <v>1082</v>
      </c>
      <c r="B1025" t="s">
        <v>96</v>
      </c>
      <c r="C1025" t="s">
        <v>38</v>
      </c>
      <c r="D1025" t="s">
        <v>23</v>
      </c>
      <c r="E1025">
        <v>6412</v>
      </c>
      <c r="F1025">
        <v>5571</v>
      </c>
      <c r="G1025" s="16" t="s">
        <v>17</v>
      </c>
      <c r="H1025" s="3">
        <v>45446</v>
      </c>
      <c r="I1025" s="3">
        <v>45456</v>
      </c>
      <c r="J1025" t="s">
        <v>50</v>
      </c>
      <c r="K1025" t="s">
        <v>47</v>
      </c>
      <c r="L1025">
        <v>10</v>
      </c>
      <c r="M1025" t="s">
        <v>36</v>
      </c>
    </row>
    <row r="1026" spans="1:13" x14ac:dyDescent="0.35">
      <c r="A1026" t="s">
        <v>1083</v>
      </c>
      <c r="B1026" t="s">
        <v>79</v>
      </c>
      <c r="C1026" t="s">
        <v>73</v>
      </c>
      <c r="D1026" t="s">
        <v>16</v>
      </c>
      <c r="E1026">
        <v>8209</v>
      </c>
      <c r="F1026">
        <v>0</v>
      </c>
      <c r="G1026" s="16" t="s">
        <v>29</v>
      </c>
      <c r="H1026" s="3">
        <v>45458</v>
      </c>
      <c r="I1026" s="3"/>
      <c r="J1026" t="s">
        <v>50</v>
      </c>
      <c r="K1026" t="s">
        <v>56</v>
      </c>
      <c r="M1026" t="s">
        <v>36</v>
      </c>
    </row>
    <row r="1027" spans="1:13" x14ac:dyDescent="0.35">
      <c r="A1027" t="s">
        <v>1084</v>
      </c>
      <c r="B1027" t="s">
        <v>33</v>
      </c>
      <c r="C1027" t="s">
        <v>38</v>
      </c>
      <c r="D1027" t="s">
        <v>61</v>
      </c>
      <c r="E1027">
        <v>43638</v>
      </c>
      <c r="F1027">
        <v>41895</v>
      </c>
      <c r="G1027" s="16" t="s">
        <v>17</v>
      </c>
      <c r="H1027" s="3">
        <v>45633</v>
      </c>
      <c r="I1027" s="3">
        <v>45641</v>
      </c>
      <c r="J1027" t="s">
        <v>18</v>
      </c>
      <c r="K1027" t="s">
        <v>43</v>
      </c>
      <c r="L1027">
        <v>8</v>
      </c>
      <c r="M1027" t="s">
        <v>62</v>
      </c>
    </row>
    <row r="1028" spans="1:13" x14ac:dyDescent="0.35">
      <c r="A1028" t="s">
        <v>1085</v>
      </c>
      <c r="B1028" t="s">
        <v>60</v>
      </c>
      <c r="C1028" t="s">
        <v>64</v>
      </c>
      <c r="D1028" t="s">
        <v>58</v>
      </c>
      <c r="E1028">
        <v>35490</v>
      </c>
      <c r="F1028">
        <v>34459</v>
      </c>
      <c r="G1028" s="16" t="s">
        <v>17</v>
      </c>
      <c r="H1028" s="3">
        <v>45592</v>
      </c>
      <c r="I1028" s="3">
        <v>45593</v>
      </c>
      <c r="J1028" t="s">
        <v>18</v>
      </c>
      <c r="K1028" t="s">
        <v>47</v>
      </c>
      <c r="L1028">
        <v>1</v>
      </c>
      <c r="M1028" t="s">
        <v>76</v>
      </c>
    </row>
    <row r="1029" spans="1:13" x14ac:dyDescent="0.35">
      <c r="A1029" t="s">
        <v>1086</v>
      </c>
      <c r="B1029" t="s">
        <v>53</v>
      </c>
      <c r="C1029" t="s">
        <v>15</v>
      </c>
      <c r="D1029" t="s">
        <v>16</v>
      </c>
      <c r="E1029">
        <v>17492</v>
      </c>
      <c r="F1029">
        <v>15942</v>
      </c>
      <c r="G1029" s="16" t="s">
        <v>17</v>
      </c>
      <c r="H1029" s="3">
        <v>45416</v>
      </c>
      <c r="I1029" s="3">
        <v>45426</v>
      </c>
      <c r="J1029" t="s">
        <v>18</v>
      </c>
      <c r="K1029" t="s">
        <v>47</v>
      </c>
      <c r="L1029">
        <v>10</v>
      </c>
      <c r="M1029" t="s">
        <v>31</v>
      </c>
    </row>
    <row r="1030" spans="1:13" x14ac:dyDescent="0.35">
      <c r="A1030" t="s">
        <v>1087</v>
      </c>
      <c r="B1030" t="s">
        <v>33</v>
      </c>
      <c r="C1030" t="s">
        <v>38</v>
      </c>
      <c r="D1030" t="s">
        <v>55</v>
      </c>
      <c r="E1030">
        <v>21438</v>
      </c>
      <c r="F1030">
        <v>21128</v>
      </c>
      <c r="G1030" s="16" t="s">
        <v>17</v>
      </c>
      <c r="H1030" s="3">
        <v>45484</v>
      </c>
      <c r="I1030" s="3">
        <v>45488</v>
      </c>
      <c r="J1030" t="s">
        <v>18</v>
      </c>
      <c r="K1030" t="s">
        <v>47</v>
      </c>
      <c r="L1030">
        <v>4</v>
      </c>
      <c r="M1030" t="s">
        <v>85</v>
      </c>
    </row>
    <row r="1031" spans="1:13" x14ac:dyDescent="0.35">
      <c r="A1031" t="s">
        <v>1088</v>
      </c>
      <c r="B1031" t="s">
        <v>53</v>
      </c>
      <c r="C1031" t="s">
        <v>64</v>
      </c>
      <c r="D1031" t="s">
        <v>34</v>
      </c>
      <c r="E1031">
        <v>10799</v>
      </c>
      <c r="F1031">
        <v>10149</v>
      </c>
      <c r="G1031" s="16" t="s">
        <v>17</v>
      </c>
      <c r="H1031" s="3">
        <v>45621</v>
      </c>
      <c r="I1031" s="3">
        <v>45622</v>
      </c>
      <c r="J1031" t="s">
        <v>50</v>
      </c>
      <c r="K1031" t="s">
        <v>56</v>
      </c>
      <c r="L1031">
        <v>1</v>
      </c>
      <c r="M1031" t="s">
        <v>48</v>
      </c>
    </row>
    <row r="1032" spans="1:13" x14ac:dyDescent="0.35">
      <c r="A1032" t="s">
        <v>1089</v>
      </c>
      <c r="B1032" t="s">
        <v>96</v>
      </c>
      <c r="C1032" t="s">
        <v>15</v>
      </c>
      <c r="D1032" t="s">
        <v>28</v>
      </c>
      <c r="E1032">
        <v>23710</v>
      </c>
      <c r="F1032">
        <v>23214</v>
      </c>
      <c r="G1032" s="16" t="s">
        <v>17</v>
      </c>
      <c r="H1032" s="3">
        <v>45397</v>
      </c>
      <c r="I1032" s="3">
        <v>45406</v>
      </c>
      <c r="J1032" t="s">
        <v>18</v>
      </c>
      <c r="K1032" t="s">
        <v>56</v>
      </c>
      <c r="L1032">
        <v>9</v>
      </c>
      <c r="M1032" t="s">
        <v>51</v>
      </c>
    </row>
    <row r="1033" spans="1:13" x14ac:dyDescent="0.35">
      <c r="A1033" t="s">
        <v>1090</v>
      </c>
      <c r="B1033" t="s">
        <v>26</v>
      </c>
      <c r="C1033" t="s">
        <v>46</v>
      </c>
      <c r="D1033" t="s">
        <v>58</v>
      </c>
      <c r="E1033">
        <v>36175</v>
      </c>
      <c r="F1033">
        <v>35800</v>
      </c>
      <c r="G1033" s="16" t="s">
        <v>17</v>
      </c>
      <c r="H1033" s="3">
        <v>45518</v>
      </c>
      <c r="I1033" s="3">
        <v>45519</v>
      </c>
      <c r="J1033" t="s">
        <v>18</v>
      </c>
      <c r="K1033" t="s">
        <v>30</v>
      </c>
      <c r="L1033">
        <v>1</v>
      </c>
      <c r="M1033" t="s">
        <v>44</v>
      </c>
    </row>
    <row r="1034" spans="1:13" x14ac:dyDescent="0.35">
      <c r="A1034" t="s">
        <v>1091</v>
      </c>
      <c r="B1034" t="s">
        <v>72</v>
      </c>
      <c r="C1034" t="s">
        <v>15</v>
      </c>
      <c r="D1034" t="s">
        <v>28</v>
      </c>
      <c r="E1034">
        <v>5414</v>
      </c>
      <c r="F1034">
        <v>3493</v>
      </c>
      <c r="G1034" s="16" t="s">
        <v>17</v>
      </c>
      <c r="H1034" s="3">
        <v>45396</v>
      </c>
      <c r="I1034" s="3">
        <v>45399</v>
      </c>
      <c r="J1034" t="s">
        <v>18</v>
      </c>
      <c r="K1034" t="s">
        <v>47</v>
      </c>
      <c r="L1034">
        <v>3</v>
      </c>
      <c r="M1034" t="s">
        <v>51</v>
      </c>
    </row>
    <row r="1035" spans="1:13" x14ac:dyDescent="0.35">
      <c r="A1035" t="s">
        <v>1092</v>
      </c>
      <c r="B1035" t="s">
        <v>53</v>
      </c>
      <c r="C1035" t="s">
        <v>46</v>
      </c>
      <c r="D1035" t="s">
        <v>28</v>
      </c>
      <c r="E1035">
        <v>35254</v>
      </c>
      <c r="F1035">
        <v>34382</v>
      </c>
      <c r="G1035" s="16" t="s">
        <v>17</v>
      </c>
      <c r="H1035" s="3">
        <v>45531</v>
      </c>
      <c r="I1035" s="3">
        <v>45536</v>
      </c>
      <c r="J1035" t="s">
        <v>18</v>
      </c>
      <c r="K1035" t="s">
        <v>56</v>
      </c>
      <c r="L1035">
        <v>5</v>
      </c>
      <c r="M1035" t="s">
        <v>44</v>
      </c>
    </row>
    <row r="1036" spans="1:13" x14ac:dyDescent="0.35">
      <c r="A1036" t="s">
        <v>1093</v>
      </c>
      <c r="B1036" t="s">
        <v>26</v>
      </c>
      <c r="C1036" t="s">
        <v>46</v>
      </c>
      <c r="D1036" t="s">
        <v>58</v>
      </c>
      <c r="E1036">
        <v>13562</v>
      </c>
      <c r="F1036">
        <v>0</v>
      </c>
      <c r="G1036" s="16" t="s">
        <v>29</v>
      </c>
      <c r="H1036" s="3">
        <v>45419</v>
      </c>
      <c r="I1036" s="3"/>
      <c r="J1036" t="s">
        <v>50</v>
      </c>
      <c r="K1036" t="s">
        <v>43</v>
      </c>
      <c r="M1036" t="s">
        <v>31</v>
      </c>
    </row>
    <row r="1037" spans="1:13" x14ac:dyDescent="0.35">
      <c r="A1037" t="s">
        <v>1094</v>
      </c>
      <c r="B1037" t="s">
        <v>53</v>
      </c>
      <c r="C1037" t="s">
        <v>64</v>
      </c>
      <c r="D1037" t="s">
        <v>28</v>
      </c>
      <c r="E1037">
        <v>19816</v>
      </c>
      <c r="F1037">
        <v>19653</v>
      </c>
      <c r="G1037" s="16" t="s">
        <v>17</v>
      </c>
      <c r="H1037" s="3">
        <v>45476</v>
      </c>
      <c r="I1037" s="3">
        <v>45483</v>
      </c>
      <c r="J1037" t="s">
        <v>50</v>
      </c>
      <c r="K1037" t="s">
        <v>47</v>
      </c>
      <c r="L1037">
        <v>7</v>
      </c>
      <c r="M1037" t="s">
        <v>85</v>
      </c>
    </row>
    <row r="1038" spans="1:13" x14ac:dyDescent="0.35">
      <c r="A1038" t="s">
        <v>1095</v>
      </c>
      <c r="B1038" t="s">
        <v>72</v>
      </c>
      <c r="C1038" t="s">
        <v>64</v>
      </c>
      <c r="D1038" t="s">
        <v>58</v>
      </c>
      <c r="E1038">
        <v>35114</v>
      </c>
      <c r="F1038">
        <v>0</v>
      </c>
      <c r="G1038" s="16" t="s">
        <v>29</v>
      </c>
      <c r="H1038" s="3">
        <v>45513</v>
      </c>
      <c r="I1038" s="3"/>
      <c r="J1038" t="s">
        <v>18</v>
      </c>
      <c r="K1038" t="s">
        <v>30</v>
      </c>
      <c r="M1038" t="s">
        <v>44</v>
      </c>
    </row>
    <row r="1039" spans="1:13" x14ac:dyDescent="0.35">
      <c r="A1039" t="s">
        <v>1096</v>
      </c>
      <c r="B1039" t="s">
        <v>72</v>
      </c>
      <c r="C1039" t="s">
        <v>15</v>
      </c>
      <c r="D1039" t="s">
        <v>58</v>
      </c>
      <c r="E1039">
        <v>30009</v>
      </c>
      <c r="F1039">
        <v>28455</v>
      </c>
      <c r="G1039" s="16" t="s">
        <v>17</v>
      </c>
      <c r="H1039" s="3">
        <v>45445</v>
      </c>
      <c r="I1039" s="3">
        <v>45455</v>
      </c>
      <c r="J1039" t="s">
        <v>18</v>
      </c>
      <c r="K1039" t="s">
        <v>19</v>
      </c>
      <c r="L1039">
        <v>10</v>
      </c>
      <c r="M1039" t="s">
        <v>36</v>
      </c>
    </row>
    <row r="1040" spans="1:13" x14ac:dyDescent="0.35">
      <c r="A1040" t="s">
        <v>1097</v>
      </c>
      <c r="B1040" t="s">
        <v>33</v>
      </c>
      <c r="C1040" t="s">
        <v>38</v>
      </c>
      <c r="D1040" t="s">
        <v>58</v>
      </c>
      <c r="E1040">
        <v>32385</v>
      </c>
      <c r="F1040">
        <v>31457</v>
      </c>
      <c r="G1040" s="16" t="s">
        <v>17</v>
      </c>
      <c r="H1040" s="3">
        <v>45437</v>
      </c>
      <c r="I1040" s="3">
        <v>45444</v>
      </c>
      <c r="J1040" t="s">
        <v>50</v>
      </c>
      <c r="K1040" t="s">
        <v>47</v>
      </c>
      <c r="L1040">
        <v>7</v>
      </c>
      <c r="M1040" t="s">
        <v>31</v>
      </c>
    </row>
    <row r="1041" spans="1:13" x14ac:dyDescent="0.35">
      <c r="A1041" t="s">
        <v>1098</v>
      </c>
      <c r="B1041" t="s">
        <v>41</v>
      </c>
      <c r="C1041" t="s">
        <v>73</v>
      </c>
      <c r="D1041" t="s">
        <v>55</v>
      </c>
      <c r="E1041">
        <v>14826</v>
      </c>
      <c r="F1041">
        <v>12950</v>
      </c>
      <c r="G1041" s="16" t="s">
        <v>17</v>
      </c>
      <c r="H1041" s="3">
        <v>45389</v>
      </c>
      <c r="I1041" s="3">
        <v>45390</v>
      </c>
      <c r="J1041" t="s">
        <v>18</v>
      </c>
      <c r="K1041" t="s">
        <v>30</v>
      </c>
      <c r="L1041">
        <v>1</v>
      </c>
      <c r="M1041" t="s">
        <v>51</v>
      </c>
    </row>
    <row r="1042" spans="1:13" x14ac:dyDescent="0.35">
      <c r="A1042" t="s">
        <v>1099</v>
      </c>
      <c r="B1042" t="s">
        <v>79</v>
      </c>
      <c r="C1042" t="s">
        <v>38</v>
      </c>
      <c r="D1042" t="s">
        <v>55</v>
      </c>
      <c r="E1042">
        <v>28512</v>
      </c>
      <c r="F1042">
        <v>26587</v>
      </c>
      <c r="G1042" s="16" t="s">
        <v>17</v>
      </c>
      <c r="H1042" s="3">
        <v>45494</v>
      </c>
      <c r="I1042" s="3">
        <v>45500</v>
      </c>
      <c r="J1042" t="s">
        <v>50</v>
      </c>
      <c r="K1042" t="s">
        <v>35</v>
      </c>
      <c r="L1042">
        <v>6</v>
      </c>
      <c r="M1042" t="s">
        <v>85</v>
      </c>
    </row>
    <row r="1043" spans="1:13" x14ac:dyDescent="0.35">
      <c r="A1043" t="s">
        <v>1100</v>
      </c>
      <c r="B1043" t="s">
        <v>96</v>
      </c>
      <c r="C1043" t="s">
        <v>15</v>
      </c>
      <c r="D1043" t="s">
        <v>58</v>
      </c>
      <c r="E1043">
        <v>4544</v>
      </c>
      <c r="F1043">
        <v>3756</v>
      </c>
      <c r="G1043" s="16" t="s">
        <v>17</v>
      </c>
      <c r="H1043" s="3">
        <v>45581</v>
      </c>
      <c r="I1043" s="3">
        <v>45584</v>
      </c>
      <c r="J1043" t="s">
        <v>18</v>
      </c>
      <c r="K1043" t="s">
        <v>30</v>
      </c>
      <c r="L1043">
        <v>3</v>
      </c>
      <c r="M1043" t="s">
        <v>76</v>
      </c>
    </row>
    <row r="1044" spans="1:13" x14ac:dyDescent="0.35">
      <c r="A1044" t="s">
        <v>1101</v>
      </c>
      <c r="B1044" t="s">
        <v>22</v>
      </c>
      <c r="C1044" t="s">
        <v>38</v>
      </c>
      <c r="D1044" t="s">
        <v>34</v>
      </c>
      <c r="E1044">
        <v>35397</v>
      </c>
      <c r="F1044">
        <v>34097</v>
      </c>
      <c r="G1044" s="16" t="s">
        <v>17</v>
      </c>
      <c r="H1044" s="3">
        <v>45644</v>
      </c>
      <c r="I1044" s="3">
        <v>45650</v>
      </c>
      <c r="J1044" t="s">
        <v>18</v>
      </c>
      <c r="K1044" t="s">
        <v>56</v>
      </c>
      <c r="L1044">
        <v>6</v>
      </c>
      <c r="M1044" t="s">
        <v>62</v>
      </c>
    </row>
    <row r="1045" spans="1:13" x14ac:dyDescent="0.35">
      <c r="A1045" t="s">
        <v>1102</v>
      </c>
      <c r="B1045" t="s">
        <v>22</v>
      </c>
      <c r="C1045" t="s">
        <v>27</v>
      </c>
      <c r="D1045" t="s">
        <v>28</v>
      </c>
      <c r="E1045">
        <v>17882</v>
      </c>
      <c r="F1045">
        <v>17812</v>
      </c>
      <c r="G1045" s="16" t="s">
        <v>17</v>
      </c>
      <c r="H1045" s="3">
        <v>45477</v>
      </c>
      <c r="I1045" s="3">
        <v>45478</v>
      </c>
      <c r="J1045" t="s">
        <v>18</v>
      </c>
      <c r="K1045" t="s">
        <v>43</v>
      </c>
      <c r="L1045">
        <v>1</v>
      </c>
      <c r="M1045" t="s">
        <v>85</v>
      </c>
    </row>
    <row r="1046" spans="1:13" x14ac:dyDescent="0.35">
      <c r="A1046" t="s">
        <v>1103</v>
      </c>
      <c r="B1046" t="s">
        <v>53</v>
      </c>
      <c r="C1046" t="s">
        <v>64</v>
      </c>
      <c r="D1046" t="s">
        <v>61</v>
      </c>
      <c r="E1046">
        <v>18665</v>
      </c>
      <c r="F1046">
        <v>17432</v>
      </c>
      <c r="G1046" s="16" t="s">
        <v>17</v>
      </c>
      <c r="H1046" s="3">
        <v>45588</v>
      </c>
      <c r="I1046" s="3">
        <v>45591</v>
      </c>
      <c r="J1046" t="s">
        <v>18</v>
      </c>
      <c r="K1046" t="s">
        <v>47</v>
      </c>
      <c r="L1046">
        <v>3</v>
      </c>
      <c r="M1046" t="s">
        <v>76</v>
      </c>
    </row>
    <row r="1047" spans="1:13" x14ac:dyDescent="0.35">
      <c r="A1047" t="s">
        <v>1104</v>
      </c>
      <c r="B1047" t="s">
        <v>14</v>
      </c>
      <c r="C1047" t="s">
        <v>27</v>
      </c>
      <c r="D1047" t="s">
        <v>58</v>
      </c>
      <c r="E1047">
        <v>48272</v>
      </c>
      <c r="F1047">
        <v>0</v>
      </c>
      <c r="G1047" s="16" t="s">
        <v>29</v>
      </c>
      <c r="H1047" s="3">
        <v>45333</v>
      </c>
      <c r="I1047" s="3"/>
      <c r="J1047" t="s">
        <v>18</v>
      </c>
      <c r="K1047" t="s">
        <v>35</v>
      </c>
      <c r="M1047" t="s">
        <v>20</v>
      </c>
    </row>
    <row r="1048" spans="1:13" x14ac:dyDescent="0.35">
      <c r="A1048" t="s">
        <v>1105</v>
      </c>
      <c r="B1048" t="s">
        <v>33</v>
      </c>
      <c r="C1048" t="s">
        <v>27</v>
      </c>
      <c r="D1048" t="s">
        <v>16</v>
      </c>
      <c r="E1048">
        <v>47340</v>
      </c>
      <c r="F1048">
        <v>46315</v>
      </c>
      <c r="G1048" s="16" t="s">
        <v>17</v>
      </c>
      <c r="H1048" s="3">
        <v>45564</v>
      </c>
      <c r="I1048" s="3">
        <v>45571</v>
      </c>
      <c r="J1048" t="s">
        <v>50</v>
      </c>
      <c r="K1048" t="s">
        <v>56</v>
      </c>
      <c r="L1048">
        <v>7</v>
      </c>
      <c r="M1048" t="s">
        <v>24</v>
      </c>
    </row>
    <row r="1049" spans="1:13" x14ac:dyDescent="0.35">
      <c r="A1049" t="s">
        <v>1106</v>
      </c>
      <c r="B1049" t="s">
        <v>22</v>
      </c>
      <c r="C1049" t="s">
        <v>15</v>
      </c>
      <c r="D1049" t="s">
        <v>70</v>
      </c>
      <c r="E1049">
        <v>43692</v>
      </c>
      <c r="F1049">
        <v>0</v>
      </c>
      <c r="G1049" s="16" t="s">
        <v>29</v>
      </c>
      <c r="H1049" s="3">
        <v>45468</v>
      </c>
      <c r="I1049" s="3"/>
      <c r="J1049" t="s">
        <v>18</v>
      </c>
      <c r="K1049" t="s">
        <v>43</v>
      </c>
      <c r="M1049" t="s">
        <v>36</v>
      </c>
    </row>
    <row r="1050" spans="1:13" x14ac:dyDescent="0.35">
      <c r="A1050" t="s">
        <v>1107</v>
      </c>
      <c r="B1050" t="s">
        <v>26</v>
      </c>
      <c r="C1050" t="s">
        <v>27</v>
      </c>
      <c r="D1050" t="s">
        <v>16</v>
      </c>
      <c r="E1050">
        <v>2420</v>
      </c>
      <c r="F1050">
        <v>749</v>
      </c>
      <c r="G1050" s="16" t="s">
        <v>17</v>
      </c>
      <c r="H1050" s="3">
        <v>45543</v>
      </c>
      <c r="I1050" s="3">
        <v>45544</v>
      </c>
      <c r="J1050" t="s">
        <v>18</v>
      </c>
      <c r="K1050" t="s">
        <v>47</v>
      </c>
      <c r="L1050">
        <v>1</v>
      </c>
      <c r="M1050" t="s">
        <v>24</v>
      </c>
    </row>
    <row r="1051" spans="1:13" x14ac:dyDescent="0.35">
      <c r="A1051" t="s">
        <v>1108</v>
      </c>
      <c r="B1051" t="s">
        <v>22</v>
      </c>
      <c r="C1051" t="s">
        <v>27</v>
      </c>
      <c r="D1051" t="s">
        <v>16</v>
      </c>
      <c r="E1051">
        <v>30242</v>
      </c>
      <c r="F1051">
        <v>29881</v>
      </c>
      <c r="G1051" s="16" t="s">
        <v>17</v>
      </c>
      <c r="H1051" s="3">
        <v>45483</v>
      </c>
      <c r="I1051" s="3">
        <v>45486</v>
      </c>
      <c r="J1051" t="s">
        <v>18</v>
      </c>
      <c r="K1051" t="s">
        <v>47</v>
      </c>
      <c r="L1051">
        <v>3</v>
      </c>
      <c r="M1051" t="s">
        <v>85</v>
      </c>
    </row>
    <row r="1052" spans="1:13" x14ac:dyDescent="0.35">
      <c r="A1052" t="s">
        <v>1109</v>
      </c>
      <c r="B1052" t="s">
        <v>72</v>
      </c>
      <c r="C1052" t="s">
        <v>73</v>
      </c>
      <c r="D1052" t="s">
        <v>70</v>
      </c>
      <c r="E1052">
        <v>31534</v>
      </c>
      <c r="F1052">
        <v>0</v>
      </c>
      <c r="G1052" s="16" t="s">
        <v>29</v>
      </c>
      <c r="H1052" s="3">
        <v>45400</v>
      </c>
      <c r="I1052" s="3"/>
      <c r="J1052" t="s">
        <v>18</v>
      </c>
      <c r="K1052" t="s">
        <v>47</v>
      </c>
      <c r="M1052" t="s">
        <v>51</v>
      </c>
    </row>
    <row r="1053" spans="1:13" x14ac:dyDescent="0.35">
      <c r="A1053" t="s">
        <v>1110</v>
      </c>
      <c r="B1053" t="s">
        <v>60</v>
      </c>
      <c r="C1053" t="s">
        <v>73</v>
      </c>
      <c r="D1053" t="s">
        <v>28</v>
      </c>
      <c r="E1053">
        <v>18996</v>
      </c>
      <c r="F1053">
        <v>18094</v>
      </c>
      <c r="G1053" s="16" t="s">
        <v>17</v>
      </c>
      <c r="H1053" s="3">
        <v>45612</v>
      </c>
      <c r="I1053" s="3">
        <v>45622</v>
      </c>
      <c r="J1053" t="s">
        <v>18</v>
      </c>
      <c r="K1053" t="s">
        <v>30</v>
      </c>
      <c r="L1053">
        <v>10</v>
      </c>
      <c r="M1053" t="s">
        <v>48</v>
      </c>
    </row>
    <row r="1054" spans="1:13" x14ac:dyDescent="0.35">
      <c r="A1054" t="s">
        <v>1111</v>
      </c>
      <c r="B1054" t="s">
        <v>33</v>
      </c>
      <c r="C1054" t="s">
        <v>15</v>
      </c>
      <c r="D1054" t="s">
        <v>16</v>
      </c>
      <c r="E1054">
        <v>7616</v>
      </c>
      <c r="F1054">
        <v>7361</v>
      </c>
      <c r="G1054" s="16" t="s">
        <v>17</v>
      </c>
      <c r="H1054" s="3">
        <v>45433</v>
      </c>
      <c r="I1054" s="3">
        <v>45435</v>
      </c>
      <c r="J1054" t="s">
        <v>50</v>
      </c>
      <c r="K1054" t="s">
        <v>47</v>
      </c>
      <c r="L1054">
        <v>2</v>
      </c>
      <c r="M1054" t="s">
        <v>31</v>
      </c>
    </row>
    <row r="1055" spans="1:13" x14ac:dyDescent="0.35">
      <c r="A1055" t="s">
        <v>1112</v>
      </c>
      <c r="B1055" t="s">
        <v>53</v>
      </c>
      <c r="C1055" t="s">
        <v>46</v>
      </c>
      <c r="D1055" t="s">
        <v>55</v>
      </c>
      <c r="E1055">
        <v>33797</v>
      </c>
      <c r="F1055">
        <v>33778</v>
      </c>
      <c r="G1055" s="16" t="s">
        <v>17</v>
      </c>
      <c r="H1055" s="3">
        <v>45323</v>
      </c>
      <c r="I1055" s="3">
        <v>45328</v>
      </c>
      <c r="J1055" t="s">
        <v>18</v>
      </c>
      <c r="K1055" t="s">
        <v>56</v>
      </c>
      <c r="L1055">
        <v>5</v>
      </c>
      <c r="M1055" t="s">
        <v>20</v>
      </c>
    </row>
    <row r="1056" spans="1:13" x14ac:dyDescent="0.35">
      <c r="A1056" t="s">
        <v>1113</v>
      </c>
      <c r="B1056" t="s">
        <v>53</v>
      </c>
      <c r="C1056" t="s">
        <v>15</v>
      </c>
      <c r="D1056" t="s">
        <v>70</v>
      </c>
      <c r="E1056">
        <v>15832</v>
      </c>
      <c r="F1056">
        <v>0</v>
      </c>
      <c r="G1056" s="16" t="s">
        <v>29</v>
      </c>
      <c r="H1056" s="3">
        <v>45295</v>
      </c>
      <c r="I1056" s="3"/>
      <c r="J1056" t="s">
        <v>50</v>
      </c>
      <c r="K1056" t="s">
        <v>19</v>
      </c>
      <c r="M1056" t="s">
        <v>39</v>
      </c>
    </row>
    <row r="1057" spans="1:13" x14ac:dyDescent="0.35">
      <c r="A1057" t="s">
        <v>1114</v>
      </c>
      <c r="B1057" t="s">
        <v>79</v>
      </c>
      <c r="C1057" t="s">
        <v>38</v>
      </c>
      <c r="D1057" t="s">
        <v>55</v>
      </c>
      <c r="E1057">
        <v>33013</v>
      </c>
      <c r="F1057">
        <v>31776</v>
      </c>
      <c r="G1057" s="16" t="s">
        <v>17</v>
      </c>
      <c r="H1057" s="3">
        <v>45511</v>
      </c>
      <c r="I1057" s="3">
        <v>45517</v>
      </c>
      <c r="J1057" t="s">
        <v>50</v>
      </c>
      <c r="K1057" t="s">
        <v>56</v>
      </c>
      <c r="L1057">
        <v>6</v>
      </c>
      <c r="M1057" t="s">
        <v>44</v>
      </c>
    </row>
    <row r="1058" spans="1:13" x14ac:dyDescent="0.35">
      <c r="A1058" t="s">
        <v>1115</v>
      </c>
      <c r="B1058" t="s">
        <v>41</v>
      </c>
      <c r="C1058" t="s">
        <v>38</v>
      </c>
      <c r="D1058" t="s">
        <v>28</v>
      </c>
      <c r="E1058">
        <v>25672</v>
      </c>
      <c r="F1058">
        <v>24897</v>
      </c>
      <c r="G1058" s="16" t="s">
        <v>17</v>
      </c>
      <c r="H1058" s="3">
        <v>45604</v>
      </c>
      <c r="I1058" s="3">
        <v>45605</v>
      </c>
      <c r="J1058" t="s">
        <v>50</v>
      </c>
      <c r="K1058" t="s">
        <v>30</v>
      </c>
      <c r="L1058">
        <v>1</v>
      </c>
      <c r="M1058" t="s">
        <v>48</v>
      </c>
    </row>
    <row r="1059" spans="1:13" x14ac:dyDescent="0.35">
      <c r="A1059" t="s">
        <v>1116</v>
      </c>
      <c r="B1059" t="s">
        <v>41</v>
      </c>
      <c r="C1059" t="s">
        <v>15</v>
      </c>
      <c r="D1059" t="s">
        <v>23</v>
      </c>
      <c r="E1059">
        <v>31944</v>
      </c>
      <c r="F1059">
        <v>30459</v>
      </c>
      <c r="G1059" s="16" t="s">
        <v>17</v>
      </c>
      <c r="H1059" s="3">
        <v>45363</v>
      </c>
      <c r="I1059" s="3">
        <v>45364</v>
      </c>
      <c r="J1059" t="s">
        <v>18</v>
      </c>
      <c r="K1059" t="s">
        <v>30</v>
      </c>
      <c r="L1059">
        <v>1</v>
      </c>
      <c r="M1059" t="s">
        <v>67</v>
      </c>
    </row>
    <row r="1060" spans="1:13" x14ac:dyDescent="0.35">
      <c r="A1060" t="s">
        <v>1117</v>
      </c>
      <c r="B1060" t="s">
        <v>79</v>
      </c>
      <c r="C1060" t="s">
        <v>38</v>
      </c>
      <c r="D1060" t="s">
        <v>28</v>
      </c>
      <c r="E1060">
        <v>26145</v>
      </c>
      <c r="F1060">
        <v>24879</v>
      </c>
      <c r="G1060" s="16" t="s">
        <v>17</v>
      </c>
      <c r="H1060" s="3">
        <v>45643</v>
      </c>
      <c r="I1060" s="3">
        <v>45651</v>
      </c>
      <c r="J1060" t="s">
        <v>50</v>
      </c>
      <c r="K1060" t="s">
        <v>56</v>
      </c>
      <c r="L1060">
        <v>8</v>
      </c>
      <c r="M1060" t="s">
        <v>62</v>
      </c>
    </row>
    <row r="1061" spans="1:13" x14ac:dyDescent="0.35">
      <c r="A1061" t="s">
        <v>1118</v>
      </c>
      <c r="B1061" t="s">
        <v>26</v>
      </c>
      <c r="C1061" t="s">
        <v>15</v>
      </c>
      <c r="D1061" t="s">
        <v>34</v>
      </c>
      <c r="E1061">
        <v>3089</v>
      </c>
      <c r="F1061">
        <v>1301</v>
      </c>
      <c r="G1061" s="16" t="s">
        <v>17</v>
      </c>
      <c r="H1061" s="3">
        <v>45315</v>
      </c>
      <c r="I1061" s="3">
        <v>45321</v>
      </c>
      <c r="J1061" t="s">
        <v>50</v>
      </c>
      <c r="K1061" t="s">
        <v>47</v>
      </c>
      <c r="L1061">
        <v>6</v>
      </c>
      <c r="M1061" t="s">
        <v>39</v>
      </c>
    </row>
    <row r="1062" spans="1:13" x14ac:dyDescent="0.35">
      <c r="A1062" t="s">
        <v>1119</v>
      </c>
      <c r="B1062" t="s">
        <v>53</v>
      </c>
      <c r="C1062" t="s">
        <v>64</v>
      </c>
      <c r="D1062" t="s">
        <v>58</v>
      </c>
      <c r="E1062">
        <v>42146</v>
      </c>
      <c r="F1062">
        <v>41433</v>
      </c>
      <c r="G1062" s="16" t="s">
        <v>17</v>
      </c>
      <c r="H1062" s="3">
        <v>45511</v>
      </c>
      <c r="I1062" s="3">
        <v>45519</v>
      </c>
      <c r="J1062" t="s">
        <v>18</v>
      </c>
      <c r="K1062" t="s">
        <v>56</v>
      </c>
      <c r="L1062">
        <v>8</v>
      </c>
      <c r="M1062" t="s">
        <v>44</v>
      </c>
    </row>
    <row r="1063" spans="1:13" x14ac:dyDescent="0.35">
      <c r="A1063" t="s">
        <v>1120</v>
      </c>
      <c r="B1063" t="s">
        <v>22</v>
      </c>
      <c r="C1063" t="s">
        <v>38</v>
      </c>
      <c r="D1063" t="s">
        <v>28</v>
      </c>
      <c r="E1063">
        <v>48657</v>
      </c>
      <c r="F1063">
        <v>46876</v>
      </c>
      <c r="G1063" s="16" t="s">
        <v>17</v>
      </c>
      <c r="H1063" s="3">
        <v>45558</v>
      </c>
      <c r="I1063" s="3">
        <v>45568</v>
      </c>
      <c r="J1063" t="s">
        <v>18</v>
      </c>
      <c r="K1063" t="s">
        <v>47</v>
      </c>
      <c r="L1063">
        <v>10</v>
      </c>
      <c r="M1063" t="s">
        <v>24</v>
      </c>
    </row>
    <row r="1064" spans="1:13" x14ac:dyDescent="0.35">
      <c r="A1064" t="s">
        <v>1121</v>
      </c>
      <c r="B1064" t="s">
        <v>72</v>
      </c>
      <c r="C1064" t="s">
        <v>15</v>
      </c>
      <c r="D1064" t="s">
        <v>16</v>
      </c>
      <c r="E1064">
        <v>46109</v>
      </c>
      <c r="F1064">
        <v>0</v>
      </c>
      <c r="G1064" s="16" t="s">
        <v>29</v>
      </c>
      <c r="H1064" s="3">
        <v>45531</v>
      </c>
      <c r="I1064" s="3"/>
      <c r="J1064" t="s">
        <v>18</v>
      </c>
      <c r="K1064" t="s">
        <v>35</v>
      </c>
      <c r="M1064" t="s">
        <v>44</v>
      </c>
    </row>
    <row r="1065" spans="1:13" x14ac:dyDescent="0.35">
      <c r="A1065" t="s">
        <v>1122</v>
      </c>
      <c r="B1065" t="s">
        <v>14</v>
      </c>
      <c r="C1065" t="s">
        <v>64</v>
      </c>
      <c r="D1065" t="s">
        <v>28</v>
      </c>
      <c r="E1065">
        <v>17948</v>
      </c>
      <c r="F1065">
        <v>17599</v>
      </c>
      <c r="G1065" s="16" t="s">
        <v>17</v>
      </c>
      <c r="H1065" s="3">
        <v>45629</v>
      </c>
      <c r="I1065" s="3">
        <v>45631</v>
      </c>
      <c r="J1065" t="s">
        <v>18</v>
      </c>
      <c r="K1065" t="s">
        <v>35</v>
      </c>
      <c r="L1065">
        <v>2</v>
      </c>
      <c r="M1065" t="s">
        <v>62</v>
      </c>
    </row>
    <row r="1066" spans="1:13" x14ac:dyDescent="0.35">
      <c r="A1066" t="s">
        <v>1123</v>
      </c>
      <c r="B1066" t="s">
        <v>60</v>
      </c>
      <c r="C1066" t="s">
        <v>73</v>
      </c>
      <c r="D1066" t="s">
        <v>34</v>
      </c>
      <c r="E1066">
        <v>27132</v>
      </c>
      <c r="F1066">
        <v>26681</v>
      </c>
      <c r="G1066" s="16" t="s">
        <v>17</v>
      </c>
      <c r="H1066" s="3">
        <v>45423</v>
      </c>
      <c r="I1066" s="3">
        <v>45431</v>
      </c>
      <c r="J1066" t="s">
        <v>18</v>
      </c>
      <c r="K1066" t="s">
        <v>56</v>
      </c>
      <c r="L1066">
        <v>8</v>
      </c>
      <c r="M1066" t="s">
        <v>31</v>
      </c>
    </row>
    <row r="1067" spans="1:13" x14ac:dyDescent="0.35">
      <c r="A1067" t="s">
        <v>1124</v>
      </c>
      <c r="B1067" t="s">
        <v>33</v>
      </c>
      <c r="C1067" t="s">
        <v>64</v>
      </c>
      <c r="D1067" t="s">
        <v>70</v>
      </c>
      <c r="E1067">
        <v>47336</v>
      </c>
      <c r="F1067">
        <v>45551</v>
      </c>
      <c r="G1067" s="16" t="s">
        <v>17</v>
      </c>
      <c r="H1067" s="3">
        <v>45406</v>
      </c>
      <c r="I1067" s="3">
        <v>45416</v>
      </c>
      <c r="J1067" t="s">
        <v>18</v>
      </c>
      <c r="K1067" t="s">
        <v>56</v>
      </c>
      <c r="L1067">
        <v>10</v>
      </c>
      <c r="M1067" t="s">
        <v>51</v>
      </c>
    </row>
    <row r="1068" spans="1:13" x14ac:dyDescent="0.35">
      <c r="A1068" t="s">
        <v>1125</v>
      </c>
      <c r="B1068" t="s">
        <v>41</v>
      </c>
      <c r="C1068" t="s">
        <v>27</v>
      </c>
      <c r="D1068" t="s">
        <v>58</v>
      </c>
      <c r="E1068">
        <v>44855</v>
      </c>
      <c r="F1068">
        <v>0</v>
      </c>
      <c r="G1068" s="16" t="s">
        <v>29</v>
      </c>
      <c r="H1068" s="3">
        <v>45515</v>
      </c>
      <c r="I1068" s="3"/>
      <c r="J1068" t="s">
        <v>18</v>
      </c>
      <c r="K1068" t="s">
        <v>47</v>
      </c>
      <c r="M1068" t="s">
        <v>44</v>
      </c>
    </row>
    <row r="1069" spans="1:13" x14ac:dyDescent="0.35">
      <c r="A1069" t="s">
        <v>1126</v>
      </c>
      <c r="B1069" t="s">
        <v>96</v>
      </c>
      <c r="C1069" t="s">
        <v>15</v>
      </c>
      <c r="D1069" t="s">
        <v>16</v>
      </c>
      <c r="E1069">
        <v>7746</v>
      </c>
      <c r="F1069">
        <v>7564</v>
      </c>
      <c r="G1069" s="16" t="s">
        <v>17</v>
      </c>
      <c r="H1069" s="3">
        <v>45466</v>
      </c>
      <c r="I1069" s="3">
        <v>45476</v>
      </c>
      <c r="J1069" t="s">
        <v>18</v>
      </c>
      <c r="K1069" t="s">
        <v>56</v>
      </c>
      <c r="L1069">
        <v>10</v>
      </c>
      <c r="M1069" t="s">
        <v>36</v>
      </c>
    </row>
    <row r="1070" spans="1:13" x14ac:dyDescent="0.35">
      <c r="A1070" t="s">
        <v>1127</v>
      </c>
      <c r="B1070" t="s">
        <v>14</v>
      </c>
      <c r="C1070" t="s">
        <v>38</v>
      </c>
      <c r="D1070" t="s">
        <v>61</v>
      </c>
      <c r="E1070">
        <v>22537</v>
      </c>
      <c r="F1070">
        <v>21356</v>
      </c>
      <c r="G1070" s="16" t="s">
        <v>17</v>
      </c>
      <c r="H1070" s="3">
        <v>45292</v>
      </c>
      <c r="I1070" s="3">
        <v>45297</v>
      </c>
      <c r="J1070" t="s">
        <v>18</v>
      </c>
      <c r="K1070" t="s">
        <v>19</v>
      </c>
      <c r="L1070">
        <v>5</v>
      </c>
      <c r="M1070" t="s">
        <v>39</v>
      </c>
    </row>
    <row r="1071" spans="1:13" x14ac:dyDescent="0.35">
      <c r="A1071" t="s">
        <v>1128</v>
      </c>
      <c r="B1071" t="s">
        <v>79</v>
      </c>
      <c r="C1071" t="s">
        <v>46</v>
      </c>
      <c r="D1071" t="s">
        <v>58</v>
      </c>
      <c r="E1071">
        <v>29767</v>
      </c>
      <c r="F1071">
        <v>28188</v>
      </c>
      <c r="G1071" s="16" t="s">
        <v>17</v>
      </c>
      <c r="H1071" s="3">
        <v>45478</v>
      </c>
      <c r="I1071" s="3">
        <v>45481</v>
      </c>
      <c r="J1071" t="s">
        <v>18</v>
      </c>
      <c r="K1071" t="s">
        <v>47</v>
      </c>
      <c r="L1071">
        <v>3</v>
      </c>
      <c r="M1071" t="s">
        <v>85</v>
      </c>
    </row>
    <row r="1072" spans="1:13" x14ac:dyDescent="0.35">
      <c r="A1072" t="s">
        <v>1129</v>
      </c>
      <c r="B1072" t="s">
        <v>22</v>
      </c>
      <c r="C1072" t="s">
        <v>15</v>
      </c>
      <c r="D1072" t="s">
        <v>55</v>
      </c>
      <c r="E1072">
        <v>22704</v>
      </c>
      <c r="F1072">
        <v>21033</v>
      </c>
      <c r="G1072" s="16" t="s">
        <v>17</v>
      </c>
      <c r="H1072" s="3">
        <v>45443</v>
      </c>
      <c r="I1072" s="3">
        <v>45447</v>
      </c>
      <c r="J1072" t="s">
        <v>50</v>
      </c>
      <c r="K1072" t="s">
        <v>56</v>
      </c>
      <c r="L1072">
        <v>4</v>
      </c>
      <c r="M1072" t="s">
        <v>31</v>
      </c>
    </row>
    <row r="1073" spans="1:13" x14ac:dyDescent="0.35">
      <c r="A1073" t="s">
        <v>1130</v>
      </c>
      <c r="B1073" t="s">
        <v>72</v>
      </c>
      <c r="C1073" t="s">
        <v>73</v>
      </c>
      <c r="D1073" t="s">
        <v>16</v>
      </c>
      <c r="E1073">
        <v>11559</v>
      </c>
      <c r="F1073">
        <v>10333</v>
      </c>
      <c r="G1073" s="16" t="s">
        <v>17</v>
      </c>
      <c r="H1073" s="3">
        <v>45455</v>
      </c>
      <c r="I1073" s="3">
        <v>45460</v>
      </c>
      <c r="J1073" t="s">
        <v>18</v>
      </c>
      <c r="K1073" t="s">
        <v>43</v>
      </c>
      <c r="L1073">
        <v>5</v>
      </c>
      <c r="M1073" t="s">
        <v>36</v>
      </c>
    </row>
    <row r="1074" spans="1:13" x14ac:dyDescent="0.35">
      <c r="A1074" t="s">
        <v>1131</v>
      </c>
      <c r="B1074" t="s">
        <v>53</v>
      </c>
      <c r="C1074" t="s">
        <v>64</v>
      </c>
      <c r="D1074" t="s">
        <v>28</v>
      </c>
      <c r="E1074">
        <v>34441</v>
      </c>
      <c r="F1074">
        <v>32999</v>
      </c>
      <c r="G1074" s="16" t="s">
        <v>17</v>
      </c>
      <c r="H1074" s="3">
        <v>45484</v>
      </c>
      <c r="I1074" s="3">
        <v>45485</v>
      </c>
      <c r="J1074" t="s">
        <v>50</v>
      </c>
      <c r="K1074" t="s">
        <v>47</v>
      </c>
      <c r="L1074">
        <v>1</v>
      </c>
      <c r="M1074" t="s">
        <v>85</v>
      </c>
    </row>
    <row r="1075" spans="1:13" x14ac:dyDescent="0.35">
      <c r="A1075" t="s">
        <v>1132</v>
      </c>
      <c r="B1075" t="s">
        <v>26</v>
      </c>
      <c r="C1075" t="s">
        <v>46</v>
      </c>
      <c r="D1075" t="s">
        <v>23</v>
      </c>
      <c r="E1075">
        <v>13732</v>
      </c>
      <c r="F1075">
        <v>12243</v>
      </c>
      <c r="G1075" s="16" t="s">
        <v>17</v>
      </c>
      <c r="H1075" s="3">
        <v>45492</v>
      </c>
      <c r="I1075" s="3">
        <v>45497</v>
      </c>
      <c r="J1075" t="s">
        <v>18</v>
      </c>
      <c r="K1075" t="s">
        <v>47</v>
      </c>
      <c r="L1075">
        <v>5</v>
      </c>
      <c r="M1075" t="s">
        <v>85</v>
      </c>
    </row>
    <row r="1076" spans="1:13" x14ac:dyDescent="0.35">
      <c r="A1076" t="s">
        <v>1133</v>
      </c>
      <c r="B1076" t="s">
        <v>79</v>
      </c>
      <c r="C1076" t="s">
        <v>27</v>
      </c>
      <c r="D1076" t="s">
        <v>34</v>
      </c>
      <c r="E1076">
        <v>29684</v>
      </c>
      <c r="F1076">
        <v>28971</v>
      </c>
      <c r="G1076" s="16" t="s">
        <v>17</v>
      </c>
      <c r="H1076" s="3">
        <v>45492</v>
      </c>
      <c r="I1076" s="3">
        <v>45499</v>
      </c>
      <c r="J1076" t="s">
        <v>18</v>
      </c>
      <c r="K1076" t="s">
        <v>19</v>
      </c>
      <c r="L1076">
        <v>7</v>
      </c>
      <c r="M1076" t="s">
        <v>85</v>
      </c>
    </row>
    <row r="1077" spans="1:13" x14ac:dyDescent="0.35">
      <c r="A1077" t="s">
        <v>1134</v>
      </c>
      <c r="B1077" t="s">
        <v>96</v>
      </c>
      <c r="C1077" t="s">
        <v>38</v>
      </c>
      <c r="D1077" t="s">
        <v>28</v>
      </c>
      <c r="E1077">
        <v>47947</v>
      </c>
      <c r="F1077">
        <v>0</v>
      </c>
      <c r="G1077" s="16" t="s">
        <v>29</v>
      </c>
      <c r="H1077" s="3">
        <v>45493</v>
      </c>
      <c r="I1077" s="3"/>
      <c r="J1077" t="s">
        <v>18</v>
      </c>
      <c r="K1077" t="s">
        <v>47</v>
      </c>
      <c r="M1077" t="s">
        <v>85</v>
      </c>
    </row>
    <row r="1078" spans="1:13" x14ac:dyDescent="0.35">
      <c r="A1078" t="s">
        <v>1135</v>
      </c>
      <c r="B1078" t="s">
        <v>41</v>
      </c>
      <c r="C1078" t="s">
        <v>15</v>
      </c>
      <c r="D1078" t="s">
        <v>16</v>
      </c>
      <c r="E1078">
        <v>31984</v>
      </c>
      <c r="F1078">
        <v>30802</v>
      </c>
      <c r="G1078" s="16" t="s">
        <v>17</v>
      </c>
      <c r="H1078" s="3">
        <v>45362</v>
      </c>
      <c r="I1078" s="3">
        <v>45370</v>
      </c>
      <c r="J1078" t="s">
        <v>50</v>
      </c>
      <c r="K1078" t="s">
        <v>43</v>
      </c>
      <c r="L1078">
        <v>8</v>
      </c>
      <c r="M1078" t="s">
        <v>67</v>
      </c>
    </row>
    <row r="1079" spans="1:13" x14ac:dyDescent="0.35">
      <c r="A1079" t="s">
        <v>1136</v>
      </c>
      <c r="B1079" t="s">
        <v>33</v>
      </c>
      <c r="C1079" t="s">
        <v>46</v>
      </c>
      <c r="D1079" t="s">
        <v>28</v>
      </c>
      <c r="E1079">
        <v>14822</v>
      </c>
      <c r="F1079">
        <v>14081</v>
      </c>
      <c r="G1079" s="16" t="s">
        <v>17</v>
      </c>
      <c r="H1079" s="3">
        <v>45586</v>
      </c>
      <c r="I1079" s="3">
        <v>45588</v>
      </c>
      <c r="J1079" t="s">
        <v>18</v>
      </c>
      <c r="K1079" t="s">
        <v>35</v>
      </c>
      <c r="L1079">
        <v>2</v>
      </c>
      <c r="M1079" t="s">
        <v>76</v>
      </c>
    </row>
    <row r="1080" spans="1:13" x14ac:dyDescent="0.35">
      <c r="A1080" t="s">
        <v>1137</v>
      </c>
      <c r="B1080" t="s">
        <v>22</v>
      </c>
      <c r="C1080" t="s">
        <v>73</v>
      </c>
      <c r="D1080" t="s">
        <v>23</v>
      </c>
      <c r="E1080">
        <v>8294</v>
      </c>
      <c r="F1080">
        <v>6299</v>
      </c>
      <c r="G1080" s="16" t="s">
        <v>17</v>
      </c>
      <c r="H1080" s="3">
        <v>45534</v>
      </c>
      <c r="I1080" s="3">
        <v>45537</v>
      </c>
      <c r="J1080" t="s">
        <v>18</v>
      </c>
      <c r="K1080" t="s">
        <v>47</v>
      </c>
      <c r="L1080">
        <v>3</v>
      </c>
      <c r="M1080" t="s">
        <v>44</v>
      </c>
    </row>
    <row r="1081" spans="1:13" x14ac:dyDescent="0.35">
      <c r="A1081" t="s">
        <v>1138</v>
      </c>
      <c r="B1081" t="s">
        <v>79</v>
      </c>
      <c r="C1081" t="s">
        <v>38</v>
      </c>
      <c r="D1081" t="s">
        <v>58</v>
      </c>
      <c r="E1081">
        <v>11736</v>
      </c>
      <c r="F1081">
        <v>11235</v>
      </c>
      <c r="G1081" s="16" t="s">
        <v>17</v>
      </c>
      <c r="H1081" s="3">
        <v>45309</v>
      </c>
      <c r="I1081" s="3">
        <v>45311</v>
      </c>
      <c r="J1081" t="s">
        <v>18</v>
      </c>
      <c r="K1081" t="s">
        <v>35</v>
      </c>
      <c r="L1081">
        <v>2</v>
      </c>
      <c r="M1081" t="s">
        <v>39</v>
      </c>
    </row>
    <row r="1082" spans="1:13" x14ac:dyDescent="0.35">
      <c r="A1082" t="s">
        <v>1139</v>
      </c>
      <c r="B1082" t="s">
        <v>72</v>
      </c>
      <c r="C1082" t="s">
        <v>38</v>
      </c>
      <c r="D1082" t="s">
        <v>61</v>
      </c>
      <c r="E1082">
        <v>44781</v>
      </c>
      <c r="F1082">
        <v>43193</v>
      </c>
      <c r="G1082" s="16" t="s">
        <v>17</v>
      </c>
      <c r="H1082" s="3">
        <v>45646</v>
      </c>
      <c r="I1082" s="3">
        <v>45648</v>
      </c>
      <c r="J1082" t="s">
        <v>50</v>
      </c>
      <c r="K1082" t="s">
        <v>30</v>
      </c>
      <c r="L1082">
        <v>2</v>
      </c>
      <c r="M1082" t="s">
        <v>62</v>
      </c>
    </row>
    <row r="1083" spans="1:13" x14ac:dyDescent="0.35">
      <c r="A1083" t="s">
        <v>1140</v>
      </c>
      <c r="B1083" t="s">
        <v>22</v>
      </c>
      <c r="C1083" t="s">
        <v>38</v>
      </c>
      <c r="D1083" t="s">
        <v>55</v>
      </c>
      <c r="E1083">
        <v>26072</v>
      </c>
      <c r="F1083">
        <v>25827</v>
      </c>
      <c r="G1083" s="16" t="s">
        <v>17</v>
      </c>
      <c r="H1083" s="3">
        <v>45351</v>
      </c>
      <c r="I1083" s="3">
        <v>45353</v>
      </c>
      <c r="J1083" t="s">
        <v>18</v>
      </c>
      <c r="K1083" t="s">
        <v>35</v>
      </c>
      <c r="L1083">
        <v>2</v>
      </c>
      <c r="M1083" t="s">
        <v>20</v>
      </c>
    </row>
    <row r="1084" spans="1:13" x14ac:dyDescent="0.35">
      <c r="A1084" t="s">
        <v>1141</v>
      </c>
      <c r="B1084" t="s">
        <v>79</v>
      </c>
      <c r="C1084" t="s">
        <v>46</v>
      </c>
      <c r="D1084" t="s">
        <v>23</v>
      </c>
      <c r="E1084">
        <v>40459</v>
      </c>
      <c r="F1084">
        <v>0</v>
      </c>
      <c r="G1084" s="16" t="s">
        <v>29</v>
      </c>
      <c r="H1084" s="3">
        <v>45585</v>
      </c>
      <c r="I1084" s="3"/>
      <c r="J1084" t="s">
        <v>50</v>
      </c>
      <c r="K1084" t="s">
        <v>43</v>
      </c>
      <c r="M1084" t="s">
        <v>76</v>
      </c>
    </row>
    <row r="1085" spans="1:13" x14ac:dyDescent="0.35">
      <c r="A1085" t="s">
        <v>1142</v>
      </c>
      <c r="B1085" t="s">
        <v>14</v>
      </c>
      <c r="C1085" t="s">
        <v>73</v>
      </c>
      <c r="D1085" t="s">
        <v>58</v>
      </c>
      <c r="E1085">
        <v>33731</v>
      </c>
      <c r="F1085">
        <v>33120</v>
      </c>
      <c r="G1085" s="16" t="s">
        <v>17</v>
      </c>
      <c r="H1085" s="3">
        <v>45584</v>
      </c>
      <c r="I1085" s="3">
        <v>45587</v>
      </c>
      <c r="J1085" t="s">
        <v>18</v>
      </c>
      <c r="K1085" t="s">
        <v>43</v>
      </c>
      <c r="L1085">
        <v>3</v>
      </c>
      <c r="M1085" t="s">
        <v>76</v>
      </c>
    </row>
    <row r="1086" spans="1:13" x14ac:dyDescent="0.35">
      <c r="A1086" t="s">
        <v>1143</v>
      </c>
      <c r="B1086" t="s">
        <v>14</v>
      </c>
      <c r="C1086" t="s">
        <v>73</v>
      </c>
      <c r="D1086" t="s">
        <v>58</v>
      </c>
      <c r="E1086">
        <v>47923</v>
      </c>
      <c r="F1086">
        <v>47117</v>
      </c>
      <c r="G1086" s="16" t="s">
        <v>17</v>
      </c>
      <c r="H1086" s="3">
        <v>45576</v>
      </c>
      <c r="I1086" s="3">
        <v>45585</v>
      </c>
      <c r="J1086" t="s">
        <v>50</v>
      </c>
      <c r="K1086" t="s">
        <v>47</v>
      </c>
      <c r="L1086">
        <v>9</v>
      </c>
      <c r="M1086" t="s">
        <v>76</v>
      </c>
    </row>
    <row r="1087" spans="1:13" x14ac:dyDescent="0.35">
      <c r="A1087" t="s">
        <v>1144</v>
      </c>
      <c r="B1087" t="s">
        <v>79</v>
      </c>
      <c r="C1087" t="s">
        <v>15</v>
      </c>
      <c r="D1087" t="s">
        <v>28</v>
      </c>
      <c r="E1087">
        <v>45160</v>
      </c>
      <c r="F1087">
        <v>44790</v>
      </c>
      <c r="G1087" s="16" t="s">
        <v>17</v>
      </c>
      <c r="H1087" s="3">
        <v>45598</v>
      </c>
      <c r="I1087" s="3">
        <v>45601</v>
      </c>
      <c r="J1087" t="s">
        <v>18</v>
      </c>
      <c r="K1087" t="s">
        <v>19</v>
      </c>
      <c r="L1087">
        <v>3</v>
      </c>
      <c r="M1087" t="s">
        <v>48</v>
      </c>
    </row>
    <row r="1088" spans="1:13" x14ac:dyDescent="0.35">
      <c r="A1088" t="s">
        <v>1145</v>
      </c>
      <c r="B1088" t="s">
        <v>72</v>
      </c>
      <c r="C1088" t="s">
        <v>38</v>
      </c>
      <c r="D1088" t="s">
        <v>70</v>
      </c>
      <c r="E1088">
        <v>4565</v>
      </c>
      <c r="F1088">
        <v>3388</v>
      </c>
      <c r="G1088" s="16" t="s">
        <v>17</v>
      </c>
      <c r="H1088" s="3">
        <v>45397</v>
      </c>
      <c r="I1088" s="3">
        <v>45400</v>
      </c>
      <c r="J1088" t="s">
        <v>18</v>
      </c>
      <c r="K1088" t="s">
        <v>19</v>
      </c>
      <c r="L1088">
        <v>3</v>
      </c>
      <c r="M1088" t="s">
        <v>51</v>
      </c>
    </row>
    <row r="1089" spans="1:13" x14ac:dyDescent="0.35">
      <c r="A1089" t="s">
        <v>1146</v>
      </c>
      <c r="B1089" t="s">
        <v>96</v>
      </c>
      <c r="C1089" t="s">
        <v>15</v>
      </c>
      <c r="D1089" t="s">
        <v>70</v>
      </c>
      <c r="E1089">
        <v>10173</v>
      </c>
      <c r="F1089">
        <v>0</v>
      </c>
      <c r="G1089" s="16" t="s">
        <v>29</v>
      </c>
      <c r="H1089" s="3">
        <v>45444</v>
      </c>
      <c r="I1089" s="3"/>
      <c r="J1089" t="s">
        <v>50</v>
      </c>
      <c r="K1089" t="s">
        <v>19</v>
      </c>
      <c r="M1089" t="s">
        <v>36</v>
      </c>
    </row>
    <row r="1090" spans="1:13" x14ac:dyDescent="0.35">
      <c r="A1090" t="s">
        <v>1147</v>
      </c>
      <c r="B1090" t="s">
        <v>33</v>
      </c>
      <c r="C1090" t="s">
        <v>27</v>
      </c>
      <c r="D1090" t="s">
        <v>23</v>
      </c>
      <c r="E1090">
        <v>18275</v>
      </c>
      <c r="F1090">
        <v>18181</v>
      </c>
      <c r="G1090" s="16" t="s">
        <v>17</v>
      </c>
      <c r="H1090" s="3">
        <v>45557</v>
      </c>
      <c r="I1090" s="3">
        <v>45562</v>
      </c>
      <c r="J1090" t="s">
        <v>50</v>
      </c>
      <c r="K1090" t="s">
        <v>47</v>
      </c>
      <c r="L1090">
        <v>5</v>
      </c>
      <c r="M1090" t="s">
        <v>24</v>
      </c>
    </row>
    <row r="1091" spans="1:13" x14ac:dyDescent="0.35">
      <c r="A1091" t="s">
        <v>1148</v>
      </c>
      <c r="B1091" t="s">
        <v>53</v>
      </c>
      <c r="C1091" t="s">
        <v>64</v>
      </c>
      <c r="D1091" t="s">
        <v>34</v>
      </c>
      <c r="E1091">
        <v>36253</v>
      </c>
      <c r="F1091">
        <v>35012</v>
      </c>
      <c r="G1091" s="16" t="s">
        <v>17</v>
      </c>
      <c r="H1091" s="3">
        <v>45567</v>
      </c>
      <c r="I1091" s="3">
        <v>45576</v>
      </c>
      <c r="J1091" t="s">
        <v>18</v>
      </c>
      <c r="K1091" t="s">
        <v>56</v>
      </c>
      <c r="L1091">
        <v>9</v>
      </c>
      <c r="M1091" t="s">
        <v>76</v>
      </c>
    </row>
    <row r="1092" spans="1:13" x14ac:dyDescent="0.35">
      <c r="A1092" t="s">
        <v>1149</v>
      </c>
      <c r="B1092" t="s">
        <v>14</v>
      </c>
      <c r="C1092" t="s">
        <v>15</v>
      </c>
      <c r="D1092" t="s">
        <v>28</v>
      </c>
      <c r="E1092">
        <v>4407</v>
      </c>
      <c r="F1092">
        <v>4117</v>
      </c>
      <c r="G1092" s="16" t="s">
        <v>17</v>
      </c>
      <c r="H1092" s="3">
        <v>45445</v>
      </c>
      <c r="I1092" s="3">
        <v>45449</v>
      </c>
      <c r="J1092" t="s">
        <v>18</v>
      </c>
      <c r="K1092" t="s">
        <v>19</v>
      </c>
      <c r="L1092">
        <v>4</v>
      </c>
      <c r="M1092" t="s">
        <v>36</v>
      </c>
    </row>
    <row r="1093" spans="1:13" x14ac:dyDescent="0.35">
      <c r="A1093" t="s">
        <v>1150</v>
      </c>
      <c r="B1093" t="s">
        <v>79</v>
      </c>
      <c r="C1093" t="s">
        <v>46</v>
      </c>
      <c r="D1093" t="s">
        <v>34</v>
      </c>
      <c r="E1093">
        <v>20179</v>
      </c>
      <c r="F1093">
        <v>18686</v>
      </c>
      <c r="G1093" s="16" t="s">
        <v>17</v>
      </c>
      <c r="H1093" s="3">
        <v>45610</v>
      </c>
      <c r="I1093" s="3">
        <v>45617</v>
      </c>
      <c r="J1093" t="s">
        <v>18</v>
      </c>
      <c r="K1093" t="s">
        <v>19</v>
      </c>
      <c r="L1093">
        <v>7</v>
      </c>
      <c r="M1093" t="s">
        <v>48</v>
      </c>
    </row>
    <row r="1094" spans="1:13" x14ac:dyDescent="0.35">
      <c r="A1094" t="s">
        <v>1151</v>
      </c>
      <c r="B1094" t="s">
        <v>96</v>
      </c>
      <c r="C1094" t="s">
        <v>38</v>
      </c>
      <c r="D1094" t="s">
        <v>58</v>
      </c>
      <c r="E1094">
        <v>44583</v>
      </c>
      <c r="F1094">
        <v>43764</v>
      </c>
      <c r="G1094" s="16" t="s">
        <v>17</v>
      </c>
      <c r="H1094" s="3">
        <v>45525</v>
      </c>
      <c r="I1094" s="3">
        <v>45527</v>
      </c>
      <c r="J1094" t="s">
        <v>50</v>
      </c>
      <c r="K1094" t="s">
        <v>56</v>
      </c>
      <c r="L1094">
        <v>2</v>
      </c>
      <c r="M1094" t="s">
        <v>44</v>
      </c>
    </row>
    <row r="1095" spans="1:13" x14ac:dyDescent="0.35">
      <c r="A1095" t="s">
        <v>1152</v>
      </c>
      <c r="B1095" t="s">
        <v>22</v>
      </c>
      <c r="C1095" t="s">
        <v>73</v>
      </c>
      <c r="D1095" t="s">
        <v>28</v>
      </c>
      <c r="E1095">
        <v>6624</v>
      </c>
      <c r="F1095">
        <v>5328</v>
      </c>
      <c r="G1095" s="16" t="s">
        <v>17</v>
      </c>
      <c r="H1095" s="3">
        <v>45648</v>
      </c>
      <c r="I1095" s="3">
        <v>45652</v>
      </c>
      <c r="J1095" t="s">
        <v>50</v>
      </c>
      <c r="K1095" t="s">
        <v>19</v>
      </c>
      <c r="L1095">
        <v>4</v>
      </c>
      <c r="M1095" t="s">
        <v>62</v>
      </c>
    </row>
    <row r="1096" spans="1:13" x14ac:dyDescent="0.35">
      <c r="A1096" t="s">
        <v>1153</v>
      </c>
      <c r="B1096" t="s">
        <v>79</v>
      </c>
      <c r="C1096" t="s">
        <v>73</v>
      </c>
      <c r="D1096" t="s">
        <v>58</v>
      </c>
      <c r="E1096">
        <v>12059</v>
      </c>
      <c r="F1096">
        <v>10446</v>
      </c>
      <c r="G1096" s="16" t="s">
        <v>17</v>
      </c>
      <c r="H1096" s="3">
        <v>45514</v>
      </c>
      <c r="I1096" s="3">
        <v>45521</v>
      </c>
      <c r="J1096" t="s">
        <v>18</v>
      </c>
      <c r="K1096" t="s">
        <v>19</v>
      </c>
      <c r="L1096">
        <v>7</v>
      </c>
      <c r="M1096" t="s">
        <v>44</v>
      </c>
    </row>
    <row r="1097" spans="1:13" x14ac:dyDescent="0.35">
      <c r="A1097" t="s">
        <v>1154</v>
      </c>
      <c r="B1097" t="s">
        <v>26</v>
      </c>
      <c r="C1097" t="s">
        <v>15</v>
      </c>
      <c r="D1097" t="s">
        <v>16</v>
      </c>
      <c r="E1097">
        <v>10167</v>
      </c>
      <c r="F1097">
        <v>0</v>
      </c>
      <c r="G1097" s="16" t="s">
        <v>29</v>
      </c>
      <c r="H1097" s="3">
        <v>45348</v>
      </c>
      <c r="I1097" s="3"/>
      <c r="J1097" t="s">
        <v>50</v>
      </c>
      <c r="K1097" t="s">
        <v>47</v>
      </c>
      <c r="M1097" t="s">
        <v>20</v>
      </c>
    </row>
    <row r="1098" spans="1:13" x14ac:dyDescent="0.35">
      <c r="A1098" t="s">
        <v>1155</v>
      </c>
      <c r="B1098" t="s">
        <v>41</v>
      </c>
      <c r="C1098" t="s">
        <v>15</v>
      </c>
      <c r="D1098" t="s">
        <v>34</v>
      </c>
      <c r="E1098">
        <v>23857</v>
      </c>
      <c r="F1098">
        <v>23558</v>
      </c>
      <c r="G1098" s="16" t="s">
        <v>17</v>
      </c>
      <c r="H1098" s="3">
        <v>45407</v>
      </c>
      <c r="I1098" s="3">
        <v>45412</v>
      </c>
      <c r="J1098" t="s">
        <v>18</v>
      </c>
      <c r="K1098" t="s">
        <v>47</v>
      </c>
      <c r="L1098">
        <v>5</v>
      </c>
      <c r="M1098" t="s">
        <v>51</v>
      </c>
    </row>
    <row r="1099" spans="1:13" x14ac:dyDescent="0.35">
      <c r="A1099" t="s">
        <v>1156</v>
      </c>
      <c r="B1099" t="s">
        <v>22</v>
      </c>
      <c r="C1099" t="s">
        <v>46</v>
      </c>
      <c r="D1099" t="s">
        <v>58</v>
      </c>
      <c r="E1099">
        <v>8881</v>
      </c>
      <c r="F1099">
        <v>8522</v>
      </c>
      <c r="G1099" s="16" t="s">
        <v>17</v>
      </c>
      <c r="H1099" s="3">
        <v>45561</v>
      </c>
      <c r="I1099" s="3">
        <v>45566</v>
      </c>
      <c r="J1099" t="s">
        <v>50</v>
      </c>
      <c r="K1099" t="s">
        <v>47</v>
      </c>
      <c r="L1099">
        <v>5</v>
      </c>
      <c r="M1099" t="s">
        <v>24</v>
      </c>
    </row>
    <row r="1100" spans="1:13" x14ac:dyDescent="0.35">
      <c r="A1100" t="s">
        <v>1157</v>
      </c>
      <c r="B1100" t="s">
        <v>79</v>
      </c>
      <c r="C1100" t="s">
        <v>38</v>
      </c>
      <c r="D1100" t="s">
        <v>16</v>
      </c>
      <c r="E1100">
        <v>38145</v>
      </c>
      <c r="F1100">
        <v>36901</v>
      </c>
      <c r="G1100" s="16" t="s">
        <v>17</v>
      </c>
      <c r="H1100" s="3">
        <v>45342</v>
      </c>
      <c r="I1100" s="3">
        <v>45343</v>
      </c>
      <c r="J1100" t="s">
        <v>18</v>
      </c>
      <c r="K1100" t="s">
        <v>43</v>
      </c>
      <c r="L1100">
        <v>1</v>
      </c>
      <c r="M1100" t="s">
        <v>20</v>
      </c>
    </row>
    <row r="1101" spans="1:13" x14ac:dyDescent="0.35">
      <c r="A1101" t="s">
        <v>1158</v>
      </c>
      <c r="B1101" t="s">
        <v>22</v>
      </c>
      <c r="C1101" t="s">
        <v>73</v>
      </c>
      <c r="D1101" t="s">
        <v>34</v>
      </c>
      <c r="E1101">
        <v>46421</v>
      </c>
      <c r="F1101">
        <v>0</v>
      </c>
      <c r="G1101" s="16" t="s">
        <v>29</v>
      </c>
      <c r="H1101" s="3">
        <v>45574</v>
      </c>
      <c r="I1101" s="3"/>
      <c r="J1101" t="s">
        <v>50</v>
      </c>
      <c r="K1101" t="s">
        <v>35</v>
      </c>
      <c r="M1101" t="s">
        <v>76</v>
      </c>
    </row>
    <row r="1102" spans="1:13" x14ac:dyDescent="0.35">
      <c r="A1102" t="s">
        <v>1159</v>
      </c>
      <c r="B1102" t="s">
        <v>53</v>
      </c>
      <c r="C1102" t="s">
        <v>73</v>
      </c>
      <c r="D1102" t="s">
        <v>16</v>
      </c>
      <c r="E1102">
        <v>2622</v>
      </c>
      <c r="F1102">
        <v>0</v>
      </c>
      <c r="G1102" s="16" t="s">
        <v>29</v>
      </c>
      <c r="H1102" s="3">
        <v>45657</v>
      </c>
      <c r="I1102" s="3"/>
      <c r="J1102" t="s">
        <v>18</v>
      </c>
      <c r="K1102" t="s">
        <v>56</v>
      </c>
      <c r="M1102" t="s">
        <v>62</v>
      </c>
    </row>
    <row r="1103" spans="1:13" x14ac:dyDescent="0.35">
      <c r="A1103" t="s">
        <v>1160</v>
      </c>
      <c r="B1103" t="s">
        <v>33</v>
      </c>
      <c r="C1103" t="s">
        <v>73</v>
      </c>
      <c r="D1103" t="s">
        <v>58</v>
      </c>
      <c r="E1103">
        <v>39195</v>
      </c>
      <c r="F1103">
        <v>39087</v>
      </c>
      <c r="G1103" s="16" t="s">
        <v>17</v>
      </c>
      <c r="H1103" s="3">
        <v>45619</v>
      </c>
      <c r="I1103" s="3">
        <v>45625</v>
      </c>
      <c r="J1103" t="s">
        <v>18</v>
      </c>
      <c r="K1103" t="s">
        <v>56</v>
      </c>
      <c r="L1103">
        <v>6</v>
      </c>
      <c r="M1103" t="s">
        <v>48</v>
      </c>
    </row>
    <row r="1104" spans="1:13" x14ac:dyDescent="0.35">
      <c r="A1104" t="s">
        <v>1161</v>
      </c>
      <c r="B1104" t="s">
        <v>53</v>
      </c>
      <c r="C1104" t="s">
        <v>27</v>
      </c>
      <c r="D1104" t="s">
        <v>55</v>
      </c>
      <c r="E1104">
        <v>13999</v>
      </c>
      <c r="F1104">
        <v>13275</v>
      </c>
      <c r="G1104" s="16" t="s">
        <v>17</v>
      </c>
      <c r="H1104" s="3">
        <v>45531</v>
      </c>
      <c r="I1104" s="3">
        <v>45540</v>
      </c>
      <c r="J1104" t="s">
        <v>50</v>
      </c>
      <c r="K1104" t="s">
        <v>43</v>
      </c>
      <c r="L1104">
        <v>9</v>
      </c>
      <c r="M1104" t="s">
        <v>44</v>
      </c>
    </row>
    <row r="1105" spans="1:13" x14ac:dyDescent="0.35">
      <c r="A1105" t="s">
        <v>1162</v>
      </c>
      <c r="B1105" t="s">
        <v>22</v>
      </c>
      <c r="C1105" t="s">
        <v>46</v>
      </c>
      <c r="D1105" t="s">
        <v>16</v>
      </c>
      <c r="E1105">
        <v>43656</v>
      </c>
      <c r="F1105">
        <v>41716</v>
      </c>
      <c r="G1105" s="16" t="s">
        <v>17</v>
      </c>
      <c r="H1105" s="3">
        <v>45448</v>
      </c>
      <c r="I1105" s="3">
        <v>45455</v>
      </c>
      <c r="J1105" t="s">
        <v>50</v>
      </c>
      <c r="K1105" t="s">
        <v>30</v>
      </c>
      <c r="L1105">
        <v>7</v>
      </c>
      <c r="M1105" t="s">
        <v>36</v>
      </c>
    </row>
    <row r="1106" spans="1:13" x14ac:dyDescent="0.35">
      <c r="A1106" t="s">
        <v>1163</v>
      </c>
      <c r="B1106" t="s">
        <v>14</v>
      </c>
      <c r="C1106" t="s">
        <v>15</v>
      </c>
      <c r="D1106" t="s">
        <v>70</v>
      </c>
      <c r="E1106">
        <v>49838</v>
      </c>
      <c r="F1106">
        <v>47903</v>
      </c>
      <c r="G1106" s="16" t="s">
        <v>17</v>
      </c>
      <c r="H1106" s="3">
        <v>45339</v>
      </c>
      <c r="I1106" s="3">
        <v>45342</v>
      </c>
      <c r="J1106" t="s">
        <v>18</v>
      </c>
      <c r="K1106" t="s">
        <v>47</v>
      </c>
      <c r="L1106">
        <v>3</v>
      </c>
      <c r="M1106" t="s">
        <v>20</v>
      </c>
    </row>
    <row r="1107" spans="1:13" x14ac:dyDescent="0.35">
      <c r="A1107" t="s">
        <v>1164</v>
      </c>
      <c r="B1107" t="s">
        <v>96</v>
      </c>
      <c r="C1107" t="s">
        <v>64</v>
      </c>
      <c r="D1107" t="s">
        <v>23</v>
      </c>
      <c r="E1107">
        <v>29786</v>
      </c>
      <c r="F1107">
        <v>0</v>
      </c>
      <c r="G1107" s="16" t="s">
        <v>29</v>
      </c>
      <c r="H1107" s="3">
        <v>45361</v>
      </c>
      <c r="I1107" s="3"/>
      <c r="J1107" t="s">
        <v>50</v>
      </c>
      <c r="K1107" t="s">
        <v>35</v>
      </c>
      <c r="M1107" t="s">
        <v>67</v>
      </c>
    </row>
    <row r="1108" spans="1:13" x14ac:dyDescent="0.35">
      <c r="A1108" t="s">
        <v>1165</v>
      </c>
      <c r="B1108" t="s">
        <v>79</v>
      </c>
      <c r="C1108" t="s">
        <v>15</v>
      </c>
      <c r="D1108" t="s">
        <v>58</v>
      </c>
      <c r="E1108">
        <v>2910</v>
      </c>
      <c r="F1108">
        <v>0</v>
      </c>
      <c r="G1108" s="16" t="s">
        <v>29</v>
      </c>
      <c r="H1108" s="3">
        <v>45389</v>
      </c>
      <c r="I1108" s="3"/>
      <c r="J1108" t="s">
        <v>18</v>
      </c>
      <c r="K1108" t="s">
        <v>56</v>
      </c>
      <c r="M1108" t="s">
        <v>51</v>
      </c>
    </row>
    <row r="1109" spans="1:13" x14ac:dyDescent="0.35">
      <c r="A1109" t="s">
        <v>1166</v>
      </c>
      <c r="B1109" t="s">
        <v>22</v>
      </c>
      <c r="C1109" t="s">
        <v>38</v>
      </c>
      <c r="D1109" t="s">
        <v>28</v>
      </c>
      <c r="E1109">
        <v>45330</v>
      </c>
      <c r="F1109">
        <v>0</v>
      </c>
      <c r="G1109" s="16" t="s">
        <v>29</v>
      </c>
      <c r="H1109" s="3">
        <v>45642</v>
      </c>
      <c r="I1109" s="3"/>
      <c r="J1109" t="s">
        <v>18</v>
      </c>
      <c r="K1109" t="s">
        <v>19</v>
      </c>
      <c r="M1109" t="s">
        <v>62</v>
      </c>
    </row>
    <row r="1110" spans="1:13" x14ac:dyDescent="0.35">
      <c r="A1110" t="s">
        <v>1167</v>
      </c>
      <c r="B1110" t="s">
        <v>72</v>
      </c>
      <c r="C1110" t="s">
        <v>73</v>
      </c>
      <c r="D1110" t="s">
        <v>28</v>
      </c>
      <c r="E1110">
        <v>13456</v>
      </c>
      <c r="F1110">
        <v>12705</v>
      </c>
      <c r="G1110" s="16" t="s">
        <v>17</v>
      </c>
      <c r="H1110" s="3">
        <v>45360</v>
      </c>
      <c r="I1110" s="3">
        <v>45369</v>
      </c>
      <c r="J1110" t="s">
        <v>50</v>
      </c>
      <c r="K1110" t="s">
        <v>47</v>
      </c>
      <c r="L1110">
        <v>9</v>
      </c>
      <c r="M1110" t="s">
        <v>67</v>
      </c>
    </row>
    <row r="1111" spans="1:13" x14ac:dyDescent="0.35">
      <c r="A1111" t="s">
        <v>1168</v>
      </c>
      <c r="B1111" t="s">
        <v>22</v>
      </c>
      <c r="C1111" t="s">
        <v>64</v>
      </c>
      <c r="D1111" t="s">
        <v>58</v>
      </c>
      <c r="E1111">
        <v>13172</v>
      </c>
      <c r="F1111">
        <v>11186</v>
      </c>
      <c r="G1111" s="16" t="s">
        <v>17</v>
      </c>
      <c r="H1111" s="3">
        <v>45349</v>
      </c>
      <c r="I1111" s="3">
        <v>45355</v>
      </c>
      <c r="J1111" t="s">
        <v>18</v>
      </c>
      <c r="K1111" t="s">
        <v>30</v>
      </c>
      <c r="L1111">
        <v>6</v>
      </c>
      <c r="M1111" t="s">
        <v>20</v>
      </c>
    </row>
    <row r="1112" spans="1:13" x14ac:dyDescent="0.35">
      <c r="A1112" t="s">
        <v>1169</v>
      </c>
      <c r="B1112" t="s">
        <v>79</v>
      </c>
      <c r="C1112" t="s">
        <v>15</v>
      </c>
      <c r="D1112" t="s">
        <v>16</v>
      </c>
      <c r="E1112">
        <v>21606</v>
      </c>
      <c r="F1112">
        <v>21005</v>
      </c>
      <c r="G1112" s="16" t="s">
        <v>17</v>
      </c>
      <c r="H1112" s="3">
        <v>45427</v>
      </c>
      <c r="I1112" s="3">
        <v>45431</v>
      </c>
      <c r="J1112" t="s">
        <v>18</v>
      </c>
      <c r="K1112" t="s">
        <v>56</v>
      </c>
      <c r="L1112">
        <v>4</v>
      </c>
      <c r="M1112" t="s">
        <v>31</v>
      </c>
    </row>
    <row r="1113" spans="1:13" x14ac:dyDescent="0.35">
      <c r="A1113" t="s">
        <v>1170</v>
      </c>
      <c r="B1113" t="s">
        <v>53</v>
      </c>
      <c r="C1113" t="s">
        <v>27</v>
      </c>
      <c r="D1113" t="s">
        <v>28</v>
      </c>
      <c r="E1113">
        <v>21976</v>
      </c>
      <c r="F1113">
        <v>0</v>
      </c>
      <c r="G1113" s="16" t="s">
        <v>29</v>
      </c>
      <c r="H1113" s="3">
        <v>45310</v>
      </c>
      <c r="I1113" s="3"/>
      <c r="J1113" t="s">
        <v>50</v>
      </c>
      <c r="K1113" t="s">
        <v>19</v>
      </c>
      <c r="M1113" t="s">
        <v>39</v>
      </c>
    </row>
    <row r="1114" spans="1:13" x14ac:dyDescent="0.35">
      <c r="A1114" t="s">
        <v>1171</v>
      </c>
      <c r="B1114" t="s">
        <v>72</v>
      </c>
      <c r="C1114" t="s">
        <v>15</v>
      </c>
      <c r="D1114" t="s">
        <v>34</v>
      </c>
      <c r="E1114">
        <v>2386</v>
      </c>
      <c r="F1114">
        <v>0</v>
      </c>
      <c r="G1114" s="16" t="s">
        <v>29</v>
      </c>
      <c r="H1114" s="3">
        <v>45527</v>
      </c>
      <c r="I1114" s="3"/>
      <c r="J1114" t="s">
        <v>50</v>
      </c>
      <c r="K1114" t="s">
        <v>43</v>
      </c>
      <c r="M1114" t="s">
        <v>44</v>
      </c>
    </row>
    <row r="1115" spans="1:13" x14ac:dyDescent="0.35">
      <c r="A1115" t="s">
        <v>1172</v>
      </c>
      <c r="B1115" t="s">
        <v>41</v>
      </c>
      <c r="C1115" t="s">
        <v>15</v>
      </c>
      <c r="D1115" t="s">
        <v>23</v>
      </c>
      <c r="E1115">
        <v>24919</v>
      </c>
      <c r="F1115">
        <v>24096</v>
      </c>
      <c r="G1115" s="16" t="s">
        <v>17</v>
      </c>
      <c r="H1115" s="3">
        <v>45473</v>
      </c>
      <c r="I1115" s="3">
        <v>45474</v>
      </c>
      <c r="J1115" t="s">
        <v>18</v>
      </c>
      <c r="K1115" t="s">
        <v>35</v>
      </c>
      <c r="L1115">
        <v>1</v>
      </c>
      <c r="M1115" t="s">
        <v>36</v>
      </c>
    </row>
    <row r="1116" spans="1:13" x14ac:dyDescent="0.35">
      <c r="A1116" t="s">
        <v>1173</v>
      </c>
      <c r="B1116" t="s">
        <v>72</v>
      </c>
      <c r="C1116" t="s">
        <v>46</v>
      </c>
      <c r="D1116" t="s">
        <v>70</v>
      </c>
      <c r="E1116">
        <v>36674</v>
      </c>
      <c r="F1116">
        <v>0</v>
      </c>
      <c r="G1116" s="16" t="s">
        <v>29</v>
      </c>
      <c r="H1116" s="3">
        <v>45370</v>
      </c>
      <c r="I1116" s="3"/>
      <c r="J1116" t="s">
        <v>50</v>
      </c>
      <c r="K1116" t="s">
        <v>47</v>
      </c>
      <c r="M1116" t="s">
        <v>67</v>
      </c>
    </row>
    <row r="1117" spans="1:13" x14ac:dyDescent="0.35">
      <c r="A1117" t="s">
        <v>1174</v>
      </c>
      <c r="B1117" t="s">
        <v>72</v>
      </c>
      <c r="C1117" t="s">
        <v>15</v>
      </c>
      <c r="D1117" t="s">
        <v>61</v>
      </c>
      <c r="E1117">
        <v>45033</v>
      </c>
      <c r="F1117">
        <v>44570</v>
      </c>
      <c r="G1117" s="16" t="s">
        <v>17</v>
      </c>
      <c r="H1117" s="3">
        <v>45532</v>
      </c>
      <c r="I1117" s="3">
        <v>45539</v>
      </c>
      <c r="J1117" t="s">
        <v>50</v>
      </c>
      <c r="K1117" t="s">
        <v>43</v>
      </c>
      <c r="L1117">
        <v>7</v>
      </c>
      <c r="M1117" t="s">
        <v>44</v>
      </c>
    </row>
    <row r="1118" spans="1:13" x14ac:dyDescent="0.35">
      <c r="A1118" t="s">
        <v>1175</v>
      </c>
      <c r="B1118" t="s">
        <v>41</v>
      </c>
      <c r="C1118" t="s">
        <v>27</v>
      </c>
      <c r="D1118" t="s">
        <v>61</v>
      </c>
      <c r="E1118">
        <v>37155</v>
      </c>
      <c r="F1118">
        <v>36933</v>
      </c>
      <c r="G1118" s="16" t="s">
        <v>17</v>
      </c>
      <c r="H1118" s="3">
        <v>45516</v>
      </c>
      <c r="I1118" s="3">
        <v>45524</v>
      </c>
      <c r="J1118" t="s">
        <v>18</v>
      </c>
      <c r="K1118" t="s">
        <v>47</v>
      </c>
      <c r="L1118">
        <v>8</v>
      </c>
      <c r="M1118" t="s">
        <v>44</v>
      </c>
    </row>
    <row r="1119" spans="1:13" x14ac:dyDescent="0.35">
      <c r="A1119" t="s">
        <v>1176</v>
      </c>
      <c r="B1119" t="s">
        <v>41</v>
      </c>
      <c r="C1119" t="s">
        <v>27</v>
      </c>
      <c r="D1119" t="s">
        <v>23</v>
      </c>
      <c r="E1119">
        <v>25542</v>
      </c>
      <c r="F1119">
        <v>25316</v>
      </c>
      <c r="G1119" s="16" t="s">
        <v>17</v>
      </c>
      <c r="H1119" s="3">
        <v>45389</v>
      </c>
      <c r="I1119" s="3">
        <v>45394</v>
      </c>
      <c r="J1119" t="s">
        <v>18</v>
      </c>
      <c r="K1119" t="s">
        <v>47</v>
      </c>
      <c r="L1119">
        <v>5</v>
      </c>
      <c r="M1119" t="s">
        <v>51</v>
      </c>
    </row>
    <row r="1120" spans="1:13" x14ac:dyDescent="0.35">
      <c r="A1120" t="s">
        <v>1177</v>
      </c>
      <c r="B1120" t="s">
        <v>22</v>
      </c>
      <c r="C1120" t="s">
        <v>27</v>
      </c>
      <c r="D1120" t="s">
        <v>34</v>
      </c>
      <c r="E1120">
        <v>4071</v>
      </c>
      <c r="F1120">
        <v>2707</v>
      </c>
      <c r="G1120" s="16" t="s">
        <v>17</v>
      </c>
      <c r="H1120" s="3">
        <v>45393</v>
      </c>
      <c r="I1120" s="3">
        <v>45401</v>
      </c>
      <c r="J1120" t="s">
        <v>50</v>
      </c>
      <c r="K1120" t="s">
        <v>47</v>
      </c>
      <c r="L1120">
        <v>8</v>
      </c>
      <c r="M1120" t="s">
        <v>51</v>
      </c>
    </row>
    <row r="1121" spans="1:13" x14ac:dyDescent="0.35">
      <c r="A1121" t="s">
        <v>1178</v>
      </c>
      <c r="B1121" t="s">
        <v>22</v>
      </c>
      <c r="C1121" t="s">
        <v>64</v>
      </c>
      <c r="D1121" t="s">
        <v>55</v>
      </c>
      <c r="E1121">
        <v>46678</v>
      </c>
      <c r="F1121">
        <v>46013</v>
      </c>
      <c r="G1121" s="16" t="s">
        <v>17</v>
      </c>
      <c r="H1121" s="3">
        <v>45496</v>
      </c>
      <c r="I1121" s="3">
        <v>45505</v>
      </c>
      <c r="J1121" t="s">
        <v>50</v>
      </c>
      <c r="K1121" t="s">
        <v>47</v>
      </c>
      <c r="L1121">
        <v>9</v>
      </c>
      <c r="M1121" t="s">
        <v>85</v>
      </c>
    </row>
    <row r="1122" spans="1:13" x14ac:dyDescent="0.35">
      <c r="A1122" t="s">
        <v>1179</v>
      </c>
      <c r="B1122" t="s">
        <v>14</v>
      </c>
      <c r="C1122" t="s">
        <v>15</v>
      </c>
      <c r="D1122" t="s">
        <v>23</v>
      </c>
      <c r="E1122">
        <v>10265</v>
      </c>
      <c r="F1122">
        <v>9561</v>
      </c>
      <c r="G1122" s="16" t="s">
        <v>17</v>
      </c>
      <c r="H1122" s="3">
        <v>45548</v>
      </c>
      <c r="I1122" s="3">
        <v>45549</v>
      </c>
      <c r="J1122" t="s">
        <v>18</v>
      </c>
      <c r="K1122" t="s">
        <v>47</v>
      </c>
      <c r="L1122">
        <v>1</v>
      </c>
      <c r="M1122" t="s">
        <v>24</v>
      </c>
    </row>
    <row r="1123" spans="1:13" x14ac:dyDescent="0.35">
      <c r="A1123" t="s">
        <v>1180</v>
      </c>
      <c r="B1123" t="s">
        <v>41</v>
      </c>
      <c r="C1123" t="s">
        <v>27</v>
      </c>
      <c r="D1123" t="s">
        <v>23</v>
      </c>
      <c r="E1123">
        <v>30464</v>
      </c>
      <c r="F1123">
        <v>29872</v>
      </c>
      <c r="G1123" s="16" t="s">
        <v>17</v>
      </c>
      <c r="H1123" s="3">
        <v>45436</v>
      </c>
      <c r="I1123" s="3">
        <v>45444</v>
      </c>
      <c r="J1123" t="s">
        <v>18</v>
      </c>
      <c r="K1123" t="s">
        <v>30</v>
      </c>
      <c r="L1123">
        <v>8</v>
      </c>
      <c r="M1123" t="s">
        <v>31</v>
      </c>
    </row>
    <row r="1124" spans="1:13" x14ac:dyDescent="0.35">
      <c r="A1124" t="s">
        <v>1181</v>
      </c>
      <c r="B1124" t="s">
        <v>22</v>
      </c>
      <c r="C1124" t="s">
        <v>46</v>
      </c>
      <c r="D1124" t="s">
        <v>61</v>
      </c>
      <c r="E1124">
        <v>49792</v>
      </c>
      <c r="F1124">
        <v>0</v>
      </c>
      <c r="G1124" s="16" t="s">
        <v>29</v>
      </c>
      <c r="H1124" s="3">
        <v>45387</v>
      </c>
      <c r="I1124" s="3"/>
      <c r="J1124" t="s">
        <v>18</v>
      </c>
      <c r="K1124" t="s">
        <v>43</v>
      </c>
      <c r="M1124" t="s">
        <v>51</v>
      </c>
    </row>
    <row r="1125" spans="1:13" x14ac:dyDescent="0.35">
      <c r="A1125" t="s">
        <v>1182</v>
      </c>
      <c r="B1125" t="s">
        <v>14</v>
      </c>
      <c r="C1125" t="s">
        <v>38</v>
      </c>
      <c r="D1125" t="s">
        <v>28</v>
      </c>
      <c r="E1125">
        <v>45668</v>
      </c>
      <c r="F1125">
        <v>45262</v>
      </c>
      <c r="G1125" s="16" t="s">
        <v>17</v>
      </c>
      <c r="H1125" s="3">
        <v>45534</v>
      </c>
      <c r="I1125" s="3">
        <v>45536</v>
      </c>
      <c r="J1125" t="s">
        <v>18</v>
      </c>
      <c r="K1125" t="s">
        <v>47</v>
      </c>
      <c r="L1125">
        <v>2</v>
      </c>
      <c r="M1125" t="s">
        <v>44</v>
      </c>
    </row>
    <row r="1126" spans="1:13" x14ac:dyDescent="0.35">
      <c r="A1126" t="s">
        <v>1183</v>
      </c>
      <c r="B1126" t="s">
        <v>53</v>
      </c>
      <c r="C1126" t="s">
        <v>73</v>
      </c>
      <c r="D1126" t="s">
        <v>28</v>
      </c>
      <c r="E1126">
        <v>9894</v>
      </c>
      <c r="F1126">
        <v>9073</v>
      </c>
      <c r="G1126" s="16" t="s">
        <v>17</v>
      </c>
      <c r="H1126" s="3">
        <v>45311</v>
      </c>
      <c r="I1126" s="3">
        <v>45316</v>
      </c>
      <c r="J1126" t="s">
        <v>18</v>
      </c>
      <c r="K1126" t="s">
        <v>47</v>
      </c>
      <c r="L1126">
        <v>5</v>
      </c>
      <c r="M1126" t="s">
        <v>39</v>
      </c>
    </row>
    <row r="1127" spans="1:13" x14ac:dyDescent="0.35">
      <c r="A1127" t="s">
        <v>1184</v>
      </c>
      <c r="B1127" t="s">
        <v>22</v>
      </c>
      <c r="C1127" t="s">
        <v>15</v>
      </c>
      <c r="D1127" t="s">
        <v>28</v>
      </c>
      <c r="E1127">
        <v>7959</v>
      </c>
      <c r="F1127">
        <v>7181</v>
      </c>
      <c r="G1127" s="16" t="s">
        <v>17</v>
      </c>
      <c r="H1127" s="3">
        <v>45500</v>
      </c>
      <c r="I1127" s="3">
        <v>45509</v>
      </c>
      <c r="J1127" t="s">
        <v>50</v>
      </c>
      <c r="K1127" t="s">
        <v>56</v>
      </c>
      <c r="L1127">
        <v>9</v>
      </c>
      <c r="M1127" t="s">
        <v>85</v>
      </c>
    </row>
    <row r="1128" spans="1:13" x14ac:dyDescent="0.35">
      <c r="A1128" t="s">
        <v>1185</v>
      </c>
      <c r="B1128" t="s">
        <v>26</v>
      </c>
      <c r="C1128" t="s">
        <v>46</v>
      </c>
      <c r="D1128" t="s">
        <v>34</v>
      </c>
      <c r="E1128">
        <v>29923</v>
      </c>
      <c r="F1128">
        <v>29798</v>
      </c>
      <c r="G1128" s="16" t="s">
        <v>17</v>
      </c>
      <c r="H1128" s="3">
        <v>45553</v>
      </c>
      <c r="I1128" s="3">
        <v>45560</v>
      </c>
      <c r="J1128" t="s">
        <v>18</v>
      </c>
      <c r="K1128" t="s">
        <v>43</v>
      </c>
      <c r="L1128">
        <v>7</v>
      </c>
      <c r="M1128" t="s">
        <v>24</v>
      </c>
    </row>
    <row r="1129" spans="1:13" x14ac:dyDescent="0.35">
      <c r="A1129" t="s">
        <v>1186</v>
      </c>
      <c r="B1129" t="s">
        <v>14</v>
      </c>
      <c r="C1129" t="s">
        <v>38</v>
      </c>
      <c r="D1129" t="s">
        <v>34</v>
      </c>
      <c r="E1129">
        <v>20386</v>
      </c>
      <c r="F1129">
        <v>18929</v>
      </c>
      <c r="G1129" s="16" t="s">
        <v>17</v>
      </c>
      <c r="H1129" s="3">
        <v>45506</v>
      </c>
      <c r="I1129" s="3">
        <v>45510</v>
      </c>
      <c r="J1129" t="s">
        <v>50</v>
      </c>
      <c r="K1129" t="s">
        <v>47</v>
      </c>
      <c r="L1129">
        <v>4</v>
      </c>
      <c r="M1129" t="s">
        <v>44</v>
      </c>
    </row>
    <row r="1130" spans="1:13" x14ac:dyDescent="0.35">
      <c r="A1130" t="s">
        <v>1187</v>
      </c>
      <c r="B1130" t="s">
        <v>33</v>
      </c>
      <c r="C1130" t="s">
        <v>15</v>
      </c>
      <c r="D1130" t="s">
        <v>23</v>
      </c>
      <c r="E1130">
        <v>5416</v>
      </c>
      <c r="F1130">
        <v>4982</v>
      </c>
      <c r="G1130" s="16" t="s">
        <v>17</v>
      </c>
      <c r="H1130" s="3">
        <v>45438</v>
      </c>
      <c r="I1130" s="3">
        <v>45446</v>
      </c>
      <c r="J1130" t="s">
        <v>50</v>
      </c>
      <c r="K1130" t="s">
        <v>19</v>
      </c>
      <c r="L1130">
        <v>8</v>
      </c>
      <c r="M1130" t="s">
        <v>31</v>
      </c>
    </row>
    <row r="1131" spans="1:13" x14ac:dyDescent="0.35">
      <c r="A1131" t="s">
        <v>1188</v>
      </c>
      <c r="B1131" t="s">
        <v>14</v>
      </c>
      <c r="C1131" t="s">
        <v>27</v>
      </c>
      <c r="D1131" t="s">
        <v>61</v>
      </c>
      <c r="E1131">
        <v>18532</v>
      </c>
      <c r="F1131">
        <v>17788</v>
      </c>
      <c r="G1131" s="16" t="s">
        <v>17</v>
      </c>
      <c r="H1131" s="3">
        <v>45463</v>
      </c>
      <c r="I1131" s="3">
        <v>45468</v>
      </c>
      <c r="J1131" t="s">
        <v>18</v>
      </c>
      <c r="K1131" t="s">
        <v>47</v>
      </c>
      <c r="L1131">
        <v>5</v>
      </c>
      <c r="M1131" t="s">
        <v>36</v>
      </c>
    </row>
    <row r="1132" spans="1:13" x14ac:dyDescent="0.35">
      <c r="A1132" t="s">
        <v>1189</v>
      </c>
      <c r="B1132" t="s">
        <v>60</v>
      </c>
      <c r="C1132" t="s">
        <v>73</v>
      </c>
      <c r="D1132" t="s">
        <v>34</v>
      </c>
      <c r="E1132">
        <v>25630</v>
      </c>
      <c r="F1132">
        <v>24109</v>
      </c>
      <c r="G1132" s="16" t="s">
        <v>17</v>
      </c>
      <c r="H1132" s="3">
        <v>45593</v>
      </c>
      <c r="I1132" s="3">
        <v>45602</v>
      </c>
      <c r="J1132" t="s">
        <v>50</v>
      </c>
      <c r="K1132" t="s">
        <v>47</v>
      </c>
      <c r="L1132">
        <v>9</v>
      </c>
      <c r="M1132" t="s">
        <v>76</v>
      </c>
    </row>
    <row r="1133" spans="1:13" x14ac:dyDescent="0.35">
      <c r="A1133" t="s">
        <v>1190</v>
      </c>
      <c r="B1133" t="s">
        <v>96</v>
      </c>
      <c r="C1133" t="s">
        <v>46</v>
      </c>
      <c r="D1133" t="s">
        <v>58</v>
      </c>
      <c r="E1133">
        <v>7716</v>
      </c>
      <c r="F1133">
        <v>7449</v>
      </c>
      <c r="G1133" s="16" t="s">
        <v>17</v>
      </c>
      <c r="H1133" s="3">
        <v>45614</v>
      </c>
      <c r="I1133" s="3">
        <v>45624</v>
      </c>
      <c r="J1133" t="s">
        <v>18</v>
      </c>
      <c r="K1133" t="s">
        <v>47</v>
      </c>
      <c r="L1133">
        <v>10</v>
      </c>
      <c r="M1133" t="s">
        <v>48</v>
      </c>
    </row>
    <row r="1134" spans="1:13" x14ac:dyDescent="0.35">
      <c r="A1134" t="s">
        <v>1191</v>
      </c>
      <c r="B1134" t="s">
        <v>53</v>
      </c>
      <c r="C1134" t="s">
        <v>46</v>
      </c>
      <c r="D1134" t="s">
        <v>28</v>
      </c>
      <c r="E1134">
        <v>48180</v>
      </c>
      <c r="F1134">
        <v>46285</v>
      </c>
      <c r="G1134" s="16" t="s">
        <v>17</v>
      </c>
      <c r="H1134" s="3">
        <v>45342</v>
      </c>
      <c r="I1134" s="3">
        <v>45344</v>
      </c>
      <c r="J1134" t="s">
        <v>50</v>
      </c>
      <c r="K1134" t="s">
        <v>43</v>
      </c>
      <c r="L1134">
        <v>2</v>
      </c>
      <c r="M1134" t="s">
        <v>20</v>
      </c>
    </row>
    <row r="1135" spans="1:13" x14ac:dyDescent="0.35">
      <c r="A1135" t="s">
        <v>1192</v>
      </c>
      <c r="B1135" t="s">
        <v>72</v>
      </c>
      <c r="C1135" t="s">
        <v>46</v>
      </c>
      <c r="D1135" t="s">
        <v>61</v>
      </c>
      <c r="E1135">
        <v>4871</v>
      </c>
      <c r="F1135">
        <v>4479</v>
      </c>
      <c r="G1135" s="16" t="s">
        <v>17</v>
      </c>
      <c r="H1135" s="3">
        <v>45506</v>
      </c>
      <c r="I1135" s="3">
        <v>45515</v>
      </c>
      <c r="J1135" t="s">
        <v>50</v>
      </c>
      <c r="K1135" t="s">
        <v>30</v>
      </c>
      <c r="L1135">
        <v>9</v>
      </c>
      <c r="M1135" t="s">
        <v>44</v>
      </c>
    </row>
    <row r="1136" spans="1:13" x14ac:dyDescent="0.35">
      <c r="A1136" t="s">
        <v>1193</v>
      </c>
      <c r="B1136" t="s">
        <v>79</v>
      </c>
      <c r="C1136" t="s">
        <v>38</v>
      </c>
      <c r="D1136" t="s">
        <v>34</v>
      </c>
      <c r="E1136">
        <v>31391</v>
      </c>
      <c r="F1136">
        <v>29526</v>
      </c>
      <c r="G1136" s="16" t="s">
        <v>17</v>
      </c>
      <c r="H1136" s="3">
        <v>45515</v>
      </c>
      <c r="I1136" s="3">
        <v>45517</v>
      </c>
      <c r="J1136" t="s">
        <v>50</v>
      </c>
      <c r="K1136" t="s">
        <v>35</v>
      </c>
      <c r="L1136">
        <v>2</v>
      </c>
      <c r="M1136" t="s">
        <v>44</v>
      </c>
    </row>
    <row r="1137" spans="1:13" x14ac:dyDescent="0.35">
      <c r="A1137" t="s">
        <v>1194</v>
      </c>
      <c r="B1137" t="s">
        <v>79</v>
      </c>
      <c r="C1137" t="s">
        <v>15</v>
      </c>
      <c r="D1137" t="s">
        <v>61</v>
      </c>
      <c r="E1137">
        <v>41266</v>
      </c>
      <c r="F1137">
        <v>39840</v>
      </c>
      <c r="G1137" s="16" t="s">
        <v>17</v>
      </c>
      <c r="H1137" s="3">
        <v>45358</v>
      </c>
      <c r="I1137" s="3">
        <v>45363</v>
      </c>
      <c r="J1137" t="s">
        <v>18</v>
      </c>
      <c r="K1137" t="s">
        <v>19</v>
      </c>
      <c r="L1137">
        <v>5</v>
      </c>
      <c r="M1137" t="s">
        <v>67</v>
      </c>
    </row>
    <row r="1138" spans="1:13" x14ac:dyDescent="0.35">
      <c r="A1138" t="s">
        <v>1195</v>
      </c>
      <c r="B1138" t="s">
        <v>60</v>
      </c>
      <c r="C1138" t="s">
        <v>46</v>
      </c>
      <c r="D1138" t="s">
        <v>58</v>
      </c>
      <c r="E1138">
        <v>34442</v>
      </c>
      <c r="F1138">
        <v>0</v>
      </c>
      <c r="G1138" s="16" t="s">
        <v>29</v>
      </c>
      <c r="H1138" s="3">
        <v>45554</v>
      </c>
      <c r="I1138" s="3"/>
      <c r="J1138" t="s">
        <v>18</v>
      </c>
      <c r="K1138" t="s">
        <v>47</v>
      </c>
      <c r="M1138" t="s">
        <v>24</v>
      </c>
    </row>
    <row r="1139" spans="1:13" x14ac:dyDescent="0.35">
      <c r="A1139" t="s">
        <v>1196</v>
      </c>
      <c r="B1139" t="s">
        <v>72</v>
      </c>
      <c r="C1139" t="s">
        <v>27</v>
      </c>
      <c r="D1139" t="s">
        <v>58</v>
      </c>
      <c r="E1139">
        <v>28270</v>
      </c>
      <c r="F1139">
        <v>0</v>
      </c>
      <c r="G1139" s="16" t="s">
        <v>29</v>
      </c>
      <c r="H1139" s="3">
        <v>45431</v>
      </c>
      <c r="I1139" s="3"/>
      <c r="J1139" t="s">
        <v>18</v>
      </c>
      <c r="K1139" t="s">
        <v>47</v>
      </c>
      <c r="M1139" t="s">
        <v>31</v>
      </c>
    </row>
    <row r="1140" spans="1:13" x14ac:dyDescent="0.35">
      <c r="A1140" t="s">
        <v>1197</v>
      </c>
      <c r="B1140" t="s">
        <v>60</v>
      </c>
      <c r="C1140" t="s">
        <v>73</v>
      </c>
      <c r="D1140" t="s">
        <v>28</v>
      </c>
      <c r="E1140">
        <v>40804</v>
      </c>
      <c r="F1140">
        <v>39004</v>
      </c>
      <c r="G1140" s="16" t="s">
        <v>17</v>
      </c>
      <c r="H1140" s="3">
        <v>45554</v>
      </c>
      <c r="I1140" s="3">
        <v>45562</v>
      </c>
      <c r="J1140" t="s">
        <v>50</v>
      </c>
      <c r="K1140" t="s">
        <v>43</v>
      </c>
      <c r="L1140">
        <v>8</v>
      </c>
      <c r="M1140" t="s">
        <v>24</v>
      </c>
    </row>
    <row r="1141" spans="1:13" x14ac:dyDescent="0.35">
      <c r="A1141" t="s">
        <v>1198</v>
      </c>
      <c r="B1141" t="s">
        <v>26</v>
      </c>
      <c r="C1141" t="s">
        <v>38</v>
      </c>
      <c r="D1141" t="s">
        <v>16</v>
      </c>
      <c r="E1141">
        <v>38185</v>
      </c>
      <c r="F1141">
        <v>37835</v>
      </c>
      <c r="G1141" s="16" t="s">
        <v>17</v>
      </c>
      <c r="H1141" s="3">
        <v>45406</v>
      </c>
      <c r="I1141" s="3">
        <v>45407</v>
      </c>
      <c r="J1141" t="s">
        <v>18</v>
      </c>
      <c r="K1141" t="s">
        <v>43</v>
      </c>
      <c r="L1141">
        <v>1</v>
      </c>
      <c r="M1141" t="s">
        <v>51</v>
      </c>
    </row>
    <row r="1142" spans="1:13" x14ac:dyDescent="0.35">
      <c r="A1142" t="s">
        <v>1199</v>
      </c>
      <c r="B1142" t="s">
        <v>60</v>
      </c>
      <c r="C1142" t="s">
        <v>73</v>
      </c>
      <c r="D1142" t="s">
        <v>16</v>
      </c>
      <c r="E1142">
        <v>10714</v>
      </c>
      <c r="F1142">
        <v>8926</v>
      </c>
      <c r="G1142" s="16" t="s">
        <v>17</v>
      </c>
      <c r="H1142" s="3">
        <v>45318</v>
      </c>
      <c r="I1142" s="3">
        <v>45322</v>
      </c>
      <c r="J1142" t="s">
        <v>18</v>
      </c>
      <c r="K1142" t="s">
        <v>19</v>
      </c>
      <c r="L1142">
        <v>4</v>
      </c>
      <c r="M1142" t="s">
        <v>39</v>
      </c>
    </row>
    <row r="1143" spans="1:13" x14ac:dyDescent="0.35">
      <c r="A1143" t="s">
        <v>1200</v>
      </c>
      <c r="B1143" t="s">
        <v>14</v>
      </c>
      <c r="C1143" t="s">
        <v>15</v>
      </c>
      <c r="D1143" t="s">
        <v>34</v>
      </c>
      <c r="E1143">
        <v>43463</v>
      </c>
      <c r="F1143">
        <v>0</v>
      </c>
      <c r="G1143" s="16" t="s">
        <v>29</v>
      </c>
      <c r="H1143" s="3">
        <v>45480</v>
      </c>
      <c r="I1143" s="3"/>
      <c r="J1143" t="s">
        <v>50</v>
      </c>
      <c r="K1143" t="s">
        <v>47</v>
      </c>
      <c r="M1143" t="s">
        <v>85</v>
      </c>
    </row>
    <row r="1144" spans="1:13" x14ac:dyDescent="0.35">
      <c r="A1144" t="s">
        <v>1201</v>
      </c>
      <c r="B1144" t="s">
        <v>79</v>
      </c>
      <c r="C1144" t="s">
        <v>38</v>
      </c>
      <c r="D1144" t="s">
        <v>61</v>
      </c>
      <c r="E1144">
        <v>28761</v>
      </c>
      <c r="F1144">
        <v>0</v>
      </c>
      <c r="G1144" s="16" t="s">
        <v>29</v>
      </c>
      <c r="H1144" s="3">
        <v>45442</v>
      </c>
      <c r="I1144" s="3"/>
      <c r="J1144" t="s">
        <v>50</v>
      </c>
      <c r="K1144" t="s">
        <v>47</v>
      </c>
      <c r="M1144" t="s">
        <v>31</v>
      </c>
    </row>
    <row r="1145" spans="1:13" x14ac:dyDescent="0.35">
      <c r="A1145" t="s">
        <v>1202</v>
      </c>
      <c r="B1145" t="s">
        <v>60</v>
      </c>
      <c r="C1145" t="s">
        <v>38</v>
      </c>
      <c r="D1145" t="s">
        <v>28</v>
      </c>
      <c r="E1145">
        <v>49872</v>
      </c>
      <c r="F1145">
        <v>49511</v>
      </c>
      <c r="G1145" s="16" t="s">
        <v>17</v>
      </c>
      <c r="H1145" s="3">
        <v>45423</v>
      </c>
      <c r="I1145" s="3">
        <v>45424</v>
      </c>
      <c r="J1145" t="s">
        <v>18</v>
      </c>
      <c r="K1145" t="s">
        <v>56</v>
      </c>
      <c r="L1145">
        <v>1</v>
      </c>
      <c r="M1145" t="s">
        <v>31</v>
      </c>
    </row>
    <row r="1146" spans="1:13" x14ac:dyDescent="0.35">
      <c r="A1146" t="s">
        <v>1203</v>
      </c>
      <c r="B1146" t="s">
        <v>22</v>
      </c>
      <c r="C1146" t="s">
        <v>38</v>
      </c>
      <c r="D1146" t="s">
        <v>28</v>
      </c>
      <c r="E1146">
        <v>30979</v>
      </c>
      <c r="F1146">
        <v>30315</v>
      </c>
      <c r="G1146" s="16" t="s">
        <v>17</v>
      </c>
      <c r="H1146" s="3">
        <v>45429</v>
      </c>
      <c r="I1146" s="3">
        <v>45433</v>
      </c>
      <c r="J1146" t="s">
        <v>50</v>
      </c>
      <c r="K1146" t="s">
        <v>47</v>
      </c>
      <c r="L1146">
        <v>4</v>
      </c>
      <c r="M1146" t="s">
        <v>31</v>
      </c>
    </row>
    <row r="1147" spans="1:13" x14ac:dyDescent="0.35">
      <c r="A1147" t="s">
        <v>1204</v>
      </c>
      <c r="B1147" t="s">
        <v>72</v>
      </c>
      <c r="C1147" t="s">
        <v>46</v>
      </c>
      <c r="D1147" t="s">
        <v>58</v>
      </c>
      <c r="E1147">
        <v>26159</v>
      </c>
      <c r="F1147">
        <v>24312</v>
      </c>
      <c r="G1147" s="16" t="s">
        <v>17</v>
      </c>
      <c r="H1147" s="3">
        <v>45537</v>
      </c>
      <c r="I1147" s="3">
        <v>45539</v>
      </c>
      <c r="J1147" t="s">
        <v>50</v>
      </c>
      <c r="K1147" t="s">
        <v>47</v>
      </c>
      <c r="L1147">
        <v>2</v>
      </c>
      <c r="M1147" t="s">
        <v>24</v>
      </c>
    </row>
    <row r="1148" spans="1:13" x14ac:dyDescent="0.35">
      <c r="A1148" t="s">
        <v>1205</v>
      </c>
      <c r="B1148" t="s">
        <v>72</v>
      </c>
      <c r="C1148" t="s">
        <v>73</v>
      </c>
      <c r="D1148" t="s">
        <v>61</v>
      </c>
      <c r="E1148">
        <v>14377</v>
      </c>
      <c r="F1148">
        <v>0</v>
      </c>
      <c r="G1148" s="16" t="s">
        <v>29</v>
      </c>
      <c r="H1148" s="3">
        <v>45543</v>
      </c>
      <c r="I1148" s="3"/>
      <c r="J1148" t="s">
        <v>18</v>
      </c>
      <c r="K1148" t="s">
        <v>56</v>
      </c>
      <c r="M1148" t="s">
        <v>24</v>
      </c>
    </row>
    <row r="1149" spans="1:13" x14ac:dyDescent="0.35">
      <c r="A1149" t="s">
        <v>1206</v>
      </c>
      <c r="B1149" t="s">
        <v>96</v>
      </c>
      <c r="C1149" t="s">
        <v>15</v>
      </c>
      <c r="D1149" t="s">
        <v>16</v>
      </c>
      <c r="E1149">
        <v>12677</v>
      </c>
      <c r="F1149">
        <v>11003</v>
      </c>
      <c r="G1149" s="16" t="s">
        <v>17</v>
      </c>
      <c r="H1149" s="3">
        <v>45493</v>
      </c>
      <c r="I1149" s="3">
        <v>45503</v>
      </c>
      <c r="J1149" t="s">
        <v>18</v>
      </c>
      <c r="K1149" t="s">
        <v>47</v>
      </c>
      <c r="L1149">
        <v>10</v>
      </c>
      <c r="M1149" t="s">
        <v>85</v>
      </c>
    </row>
    <row r="1150" spans="1:13" x14ac:dyDescent="0.35">
      <c r="A1150" t="s">
        <v>1207</v>
      </c>
      <c r="B1150" t="s">
        <v>33</v>
      </c>
      <c r="C1150" t="s">
        <v>15</v>
      </c>
      <c r="D1150" t="s">
        <v>58</v>
      </c>
      <c r="E1150">
        <v>18072</v>
      </c>
      <c r="F1150">
        <v>16211</v>
      </c>
      <c r="G1150" s="16" t="s">
        <v>17</v>
      </c>
      <c r="H1150" s="3">
        <v>45622</v>
      </c>
      <c r="I1150" s="3">
        <v>45629</v>
      </c>
      <c r="J1150" t="s">
        <v>18</v>
      </c>
      <c r="K1150" t="s">
        <v>56</v>
      </c>
      <c r="L1150">
        <v>7</v>
      </c>
      <c r="M1150" t="s">
        <v>48</v>
      </c>
    </row>
    <row r="1151" spans="1:13" x14ac:dyDescent="0.35">
      <c r="A1151" t="s">
        <v>1208</v>
      </c>
      <c r="B1151" t="s">
        <v>79</v>
      </c>
      <c r="C1151" t="s">
        <v>73</v>
      </c>
      <c r="D1151" t="s">
        <v>23</v>
      </c>
      <c r="E1151">
        <v>41537</v>
      </c>
      <c r="F1151">
        <v>40764</v>
      </c>
      <c r="G1151" s="16" t="s">
        <v>17</v>
      </c>
      <c r="H1151" s="3">
        <v>45488</v>
      </c>
      <c r="I1151" s="3">
        <v>45489</v>
      </c>
      <c r="J1151" t="s">
        <v>18</v>
      </c>
      <c r="K1151" t="s">
        <v>30</v>
      </c>
      <c r="L1151">
        <v>1</v>
      </c>
      <c r="M1151" t="s">
        <v>85</v>
      </c>
    </row>
    <row r="1152" spans="1:13" x14ac:dyDescent="0.35">
      <c r="A1152" t="s">
        <v>1209</v>
      </c>
      <c r="B1152" t="s">
        <v>60</v>
      </c>
      <c r="C1152" t="s">
        <v>15</v>
      </c>
      <c r="D1152" t="s">
        <v>61</v>
      </c>
      <c r="E1152">
        <v>18275</v>
      </c>
      <c r="F1152">
        <v>17727</v>
      </c>
      <c r="G1152" s="16" t="s">
        <v>17</v>
      </c>
      <c r="H1152" s="3">
        <v>45365</v>
      </c>
      <c r="I1152" s="3">
        <v>45375</v>
      </c>
      <c r="J1152" t="s">
        <v>18</v>
      </c>
      <c r="K1152" t="s">
        <v>30</v>
      </c>
      <c r="L1152">
        <v>10</v>
      </c>
      <c r="M1152" t="s">
        <v>67</v>
      </c>
    </row>
    <row r="1153" spans="1:13" x14ac:dyDescent="0.35">
      <c r="A1153" t="s">
        <v>1210</v>
      </c>
      <c r="B1153" t="s">
        <v>60</v>
      </c>
      <c r="C1153" t="s">
        <v>15</v>
      </c>
      <c r="D1153" t="s">
        <v>34</v>
      </c>
      <c r="E1153">
        <v>48363</v>
      </c>
      <c r="F1153">
        <v>47949</v>
      </c>
      <c r="G1153" s="16" t="s">
        <v>17</v>
      </c>
      <c r="H1153" s="3">
        <v>45363</v>
      </c>
      <c r="I1153" s="3">
        <v>45371</v>
      </c>
      <c r="J1153" t="s">
        <v>50</v>
      </c>
      <c r="K1153" t="s">
        <v>30</v>
      </c>
      <c r="L1153">
        <v>8</v>
      </c>
      <c r="M1153" t="s">
        <v>67</v>
      </c>
    </row>
    <row r="1154" spans="1:13" x14ac:dyDescent="0.35">
      <c r="A1154" t="s">
        <v>1211</v>
      </c>
      <c r="B1154" t="s">
        <v>33</v>
      </c>
      <c r="C1154" t="s">
        <v>38</v>
      </c>
      <c r="D1154" t="s">
        <v>34</v>
      </c>
      <c r="E1154">
        <v>33385</v>
      </c>
      <c r="F1154">
        <v>32886</v>
      </c>
      <c r="G1154" s="16" t="s">
        <v>17</v>
      </c>
      <c r="H1154" s="3">
        <v>45320</v>
      </c>
      <c r="I1154" s="3">
        <v>45329</v>
      </c>
      <c r="J1154" t="s">
        <v>50</v>
      </c>
      <c r="K1154" t="s">
        <v>56</v>
      </c>
      <c r="L1154">
        <v>9</v>
      </c>
      <c r="M1154" t="s">
        <v>39</v>
      </c>
    </row>
    <row r="1155" spans="1:13" x14ac:dyDescent="0.35">
      <c r="A1155" t="s">
        <v>1212</v>
      </c>
      <c r="B1155" t="s">
        <v>79</v>
      </c>
      <c r="C1155" t="s">
        <v>15</v>
      </c>
      <c r="D1155" t="s">
        <v>23</v>
      </c>
      <c r="E1155">
        <v>4918</v>
      </c>
      <c r="F1155">
        <v>3803</v>
      </c>
      <c r="G1155" s="16" t="s">
        <v>17</v>
      </c>
      <c r="H1155" s="3">
        <v>45443</v>
      </c>
      <c r="I1155" s="3">
        <v>45445</v>
      </c>
      <c r="J1155" t="s">
        <v>50</v>
      </c>
      <c r="K1155" t="s">
        <v>47</v>
      </c>
      <c r="L1155">
        <v>2</v>
      </c>
      <c r="M1155" t="s">
        <v>31</v>
      </c>
    </row>
    <row r="1156" spans="1:13" x14ac:dyDescent="0.35">
      <c r="A1156" t="s">
        <v>1213</v>
      </c>
      <c r="B1156" t="s">
        <v>60</v>
      </c>
      <c r="C1156" t="s">
        <v>46</v>
      </c>
      <c r="D1156" t="s">
        <v>23</v>
      </c>
      <c r="E1156">
        <v>16855</v>
      </c>
      <c r="F1156">
        <v>16066</v>
      </c>
      <c r="G1156" s="16" t="s">
        <v>17</v>
      </c>
      <c r="H1156" s="3">
        <v>45367</v>
      </c>
      <c r="I1156" s="3">
        <v>45373</v>
      </c>
      <c r="J1156" t="s">
        <v>50</v>
      </c>
      <c r="K1156" t="s">
        <v>47</v>
      </c>
      <c r="L1156">
        <v>6</v>
      </c>
      <c r="M1156" t="s">
        <v>67</v>
      </c>
    </row>
    <row r="1157" spans="1:13" x14ac:dyDescent="0.35">
      <c r="A1157" t="s">
        <v>1214</v>
      </c>
      <c r="B1157" t="s">
        <v>22</v>
      </c>
      <c r="C1157" t="s">
        <v>15</v>
      </c>
      <c r="D1157" t="s">
        <v>55</v>
      </c>
      <c r="E1157">
        <v>13112</v>
      </c>
      <c r="F1157">
        <v>12653</v>
      </c>
      <c r="G1157" s="16" t="s">
        <v>17</v>
      </c>
      <c r="H1157" s="3">
        <v>45344</v>
      </c>
      <c r="I1157" s="3">
        <v>45349</v>
      </c>
      <c r="J1157" t="s">
        <v>50</v>
      </c>
      <c r="K1157" t="s">
        <v>47</v>
      </c>
      <c r="L1157">
        <v>5</v>
      </c>
      <c r="M1157" t="s">
        <v>20</v>
      </c>
    </row>
    <row r="1158" spans="1:13" x14ac:dyDescent="0.35">
      <c r="A1158" t="s">
        <v>1215</v>
      </c>
      <c r="B1158" t="s">
        <v>53</v>
      </c>
      <c r="C1158" t="s">
        <v>38</v>
      </c>
      <c r="D1158" t="s">
        <v>70</v>
      </c>
      <c r="E1158">
        <v>25625</v>
      </c>
      <c r="F1158">
        <v>23791</v>
      </c>
      <c r="G1158" s="16" t="s">
        <v>17</v>
      </c>
      <c r="H1158" s="3">
        <v>45314</v>
      </c>
      <c r="I1158" s="3">
        <v>45324</v>
      </c>
      <c r="J1158" t="s">
        <v>18</v>
      </c>
      <c r="K1158" t="s">
        <v>47</v>
      </c>
      <c r="L1158">
        <v>10</v>
      </c>
      <c r="M1158" t="s">
        <v>39</v>
      </c>
    </row>
    <row r="1159" spans="1:13" x14ac:dyDescent="0.35">
      <c r="A1159" t="s">
        <v>1216</v>
      </c>
      <c r="B1159" t="s">
        <v>22</v>
      </c>
      <c r="C1159" t="s">
        <v>38</v>
      </c>
      <c r="D1159" t="s">
        <v>61</v>
      </c>
      <c r="E1159">
        <v>46527</v>
      </c>
      <c r="F1159">
        <v>46220</v>
      </c>
      <c r="G1159" s="16" t="s">
        <v>17</v>
      </c>
      <c r="H1159" s="3">
        <v>45633</v>
      </c>
      <c r="I1159" s="3">
        <v>45638</v>
      </c>
      <c r="J1159" t="s">
        <v>50</v>
      </c>
      <c r="K1159" t="s">
        <v>43</v>
      </c>
      <c r="L1159">
        <v>5</v>
      </c>
      <c r="M1159" t="s">
        <v>62</v>
      </c>
    </row>
    <row r="1160" spans="1:13" x14ac:dyDescent="0.35">
      <c r="A1160" t="s">
        <v>1217</v>
      </c>
      <c r="B1160" t="s">
        <v>14</v>
      </c>
      <c r="C1160" t="s">
        <v>38</v>
      </c>
      <c r="D1160" t="s">
        <v>55</v>
      </c>
      <c r="E1160">
        <v>45367</v>
      </c>
      <c r="F1160">
        <v>43457</v>
      </c>
      <c r="G1160" s="16" t="s">
        <v>17</v>
      </c>
      <c r="H1160" s="3">
        <v>45427</v>
      </c>
      <c r="I1160" s="3">
        <v>45429</v>
      </c>
      <c r="J1160" t="s">
        <v>18</v>
      </c>
      <c r="K1160" t="s">
        <v>30</v>
      </c>
      <c r="L1160">
        <v>2</v>
      </c>
      <c r="M1160" t="s">
        <v>31</v>
      </c>
    </row>
    <row r="1161" spans="1:13" x14ac:dyDescent="0.35">
      <c r="A1161" t="s">
        <v>1218</v>
      </c>
      <c r="B1161" t="s">
        <v>33</v>
      </c>
      <c r="C1161" t="s">
        <v>73</v>
      </c>
      <c r="D1161" t="s">
        <v>34</v>
      </c>
      <c r="E1161">
        <v>11684</v>
      </c>
      <c r="F1161">
        <v>10770</v>
      </c>
      <c r="G1161" s="16" t="s">
        <v>17</v>
      </c>
      <c r="H1161" s="3">
        <v>45536</v>
      </c>
      <c r="I1161" s="3">
        <v>45538</v>
      </c>
      <c r="J1161" t="s">
        <v>18</v>
      </c>
      <c r="K1161" t="s">
        <v>19</v>
      </c>
      <c r="L1161">
        <v>2</v>
      </c>
      <c r="M1161" t="s">
        <v>24</v>
      </c>
    </row>
    <row r="1162" spans="1:13" x14ac:dyDescent="0.35">
      <c r="A1162" t="s">
        <v>1219</v>
      </c>
      <c r="B1162" t="s">
        <v>22</v>
      </c>
      <c r="C1162" t="s">
        <v>38</v>
      </c>
      <c r="D1162" t="s">
        <v>61</v>
      </c>
      <c r="E1162">
        <v>7927</v>
      </c>
      <c r="F1162">
        <v>7666</v>
      </c>
      <c r="G1162" s="16" t="s">
        <v>17</v>
      </c>
      <c r="H1162" s="3">
        <v>45385</v>
      </c>
      <c r="I1162" s="3">
        <v>45392</v>
      </c>
      <c r="J1162" t="s">
        <v>50</v>
      </c>
      <c r="K1162" t="s">
        <v>43</v>
      </c>
      <c r="L1162">
        <v>7</v>
      </c>
      <c r="M1162" t="s">
        <v>51</v>
      </c>
    </row>
    <row r="1163" spans="1:13" x14ac:dyDescent="0.35">
      <c r="A1163" t="s">
        <v>1220</v>
      </c>
      <c r="B1163" t="s">
        <v>72</v>
      </c>
      <c r="C1163" t="s">
        <v>27</v>
      </c>
      <c r="D1163" t="s">
        <v>55</v>
      </c>
      <c r="E1163">
        <v>47444</v>
      </c>
      <c r="F1163">
        <v>46212</v>
      </c>
      <c r="G1163" s="16" t="s">
        <v>17</v>
      </c>
      <c r="H1163" s="3">
        <v>45617</v>
      </c>
      <c r="I1163" s="3">
        <v>45623</v>
      </c>
      <c r="J1163" t="s">
        <v>18</v>
      </c>
      <c r="K1163" t="s">
        <v>30</v>
      </c>
      <c r="L1163">
        <v>6</v>
      </c>
      <c r="M1163" t="s">
        <v>48</v>
      </c>
    </row>
    <row r="1164" spans="1:13" x14ac:dyDescent="0.35">
      <c r="A1164" t="s">
        <v>1221</v>
      </c>
      <c r="B1164" t="s">
        <v>26</v>
      </c>
      <c r="C1164" t="s">
        <v>27</v>
      </c>
      <c r="D1164" t="s">
        <v>58</v>
      </c>
      <c r="E1164">
        <v>38001</v>
      </c>
      <c r="F1164">
        <v>36898</v>
      </c>
      <c r="G1164" s="16" t="s">
        <v>17</v>
      </c>
      <c r="H1164" s="3">
        <v>45565</v>
      </c>
      <c r="I1164" s="3">
        <v>45573</v>
      </c>
      <c r="J1164" t="s">
        <v>18</v>
      </c>
      <c r="K1164" t="s">
        <v>35</v>
      </c>
      <c r="L1164">
        <v>8</v>
      </c>
      <c r="M1164" t="s">
        <v>24</v>
      </c>
    </row>
    <row r="1165" spans="1:13" x14ac:dyDescent="0.35">
      <c r="A1165" t="s">
        <v>1222</v>
      </c>
      <c r="B1165" t="s">
        <v>14</v>
      </c>
      <c r="C1165" t="s">
        <v>27</v>
      </c>
      <c r="D1165" t="s">
        <v>28</v>
      </c>
      <c r="E1165">
        <v>48077</v>
      </c>
      <c r="F1165">
        <v>47596</v>
      </c>
      <c r="G1165" s="16" t="s">
        <v>17</v>
      </c>
      <c r="H1165" s="3">
        <v>45477</v>
      </c>
      <c r="I1165" s="3">
        <v>45478</v>
      </c>
      <c r="J1165" t="s">
        <v>18</v>
      </c>
      <c r="K1165" t="s">
        <v>30</v>
      </c>
      <c r="L1165">
        <v>1</v>
      </c>
      <c r="M1165" t="s">
        <v>85</v>
      </c>
    </row>
    <row r="1166" spans="1:13" x14ac:dyDescent="0.35">
      <c r="A1166" t="s">
        <v>1223</v>
      </c>
      <c r="B1166" t="s">
        <v>60</v>
      </c>
      <c r="C1166" t="s">
        <v>38</v>
      </c>
      <c r="D1166" t="s">
        <v>55</v>
      </c>
      <c r="E1166">
        <v>10755</v>
      </c>
      <c r="F1166">
        <v>10633</v>
      </c>
      <c r="G1166" s="16" t="s">
        <v>17</v>
      </c>
      <c r="H1166" s="3">
        <v>45470</v>
      </c>
      <c r="I1166" s="3">
        <v>45476</v>
      </c>
      <c r="J1166" t="s">
        <v>18</v>
      </c>
      <c r="K1166" t="s">
        <v>43</v>
      </c>
      <c r="L1166">
        <v>6</v>
      </c>
      <c r="M1166" t="s">
        <v>36</v>
      </c>
    </row>
    <row r="1167" spans="1:13" x14ac:dyDescent="0.35">
      <c r="A1167" t="s">
        <v>1224</v>
      </c>
      <c r="B1167" t="s">
        <v>72</v>
      </c>
      <c r="C1167" t="s">
        <v>73</v>
      </c>
      <c r="D1167" t="s">
        <v>58</v>
      </c>
      <c r="E1167">
        <v>17892</v>
      </c>
      <c r="F1167">
        <v>16197</v>
      </c>
      <c r="G1167" s="16" t="s">
        <v>17</v>
      </c>
      <c r="H1167" s="3">
        <v>45406</v>
      </c>
      <c r="I1167" s="3">
        <v>45407</v>
      </c>
      <c r="J1167" t="s">
        <v>18</v>
      </c>
      <c r="K1167" t="s">
        <v>47</v>
      </c>
      <c r="L1167">
        <v>1</v>
      </c>
      <c r="M1167" t="s">
        <v>51</v>
      </c>
    </row>
    <row r="1168" spans="1:13" x14ac:dyDescent="0.35">
      <c r="A1168" t="s">
        <v>1225</v>
      </c>
      <c r="B1168" t="s">
        <v>33</v>
      </c>
      <c r="C1168" t="s">
        <v>27</v>
      </c>
      <c r="D1168" t="s">
        <v>23</v>
      </c>
      <c r="E1168">
        <v>47621</v>
      </c>
      <c r="F1168">
        <v>46860</v>
      </c>
      <c r="G1168" s="16" t="s">
        <v>17</v>
      </c>
      <c r="H1168" s="3">
        <v>45319</v>
      </c>
      <c r="I1168" s="3">
        <v>45321</v>
      </c>
      <c r="J1168" t="s">
        <v>18</v>
      </c>
      <c r="K1168" t="s">
        <v>35</v>
      </c>
      <c r="L1168">
        <v>2</v>
      </c>
      <c r="M1168" t="s">
        <v>39</v>
      </c>
    </row>
    <row r="1169" spans="1:13" x14ac:dyDescent="0.35">
      <c r="A1169" t="s">
        <v>1226</v>
      </c>
      <c r="B1169" t="s">
        <v>53</v>
      </c>
      <c r="C1169" t="s">
        <v>73</v>
      </c>
      <c r="D1169" t="s">
        <v>23</v>
      </c>
      <c r="E1169">
        <v>11626</v>
      </c>
      <c r="F1169">
        <v>11337</v>
      </c>
      <c r="G1169" s="16" t="s">
        <v>17</v>
      </c>
      <c r="H1169" s="3">
        <v>45332</v>
      </c>
      <c r="I1169" s="3">
        <v>45336</v>
      </c>
      <c r="J1169" t="s">
        <v>18</v>
      </c>
      <c r="K1169" t="s">
        <v>47</v>
      </c>
      <c r="L1169">
        <v>4</v>
      </c>
      <c r="M1169" t="s">
        <v>20</v>
      </c>
    </row>
    <row r="1170" spans="1:13" x14ac:dyDescent="0.35">
      <c r="A1170" t="s">
        <v>1227</v>
      </c>
      <c r="B1170" t="s">
        <v>53</v>
      </c>
      <c r="C1170" t="s">
        <v>27</v>
      </c>
      <c r="D1170" t="s">
        <v>61</v>
      </c>
      <c r="E1170">
        <v>13955</v>
      </c>
      <c r="F1170">
        <v>12433</v>
      </c>
      <c r="G1170" s="16" t="s">
        <v>17</v>
      </c>
      <c r="H1170" s="3">
        <v>45363</v>
      </c>
      <c r="I1170" s="3">
        <v>45372</v>
      </c>
      <c r="J1170" t="s">
        <v>50</v>
      </c>
      <c r="K1170" t="s">
        <v>35</v>
      </c>
      <c r="L1170">
        <v>9</v>
      </c>
      <c r="M1170" t="s">
        <v>67</v>
      </c>
    </row>
    <row r="1171" spans="1:13" x14ac:dyDescent="0.35">
      <c r="A1171" t="s">
        <v>1228</v>
      </c>
      <c r="B1171" t="s">
        <v>22</v>
      </c>
      <c r="C1171" t="s">
        <v>38</v>
      </c>
      <c r="D1171" t="s">
        <v>55</v>
      </c>
      <c r="E1171">
        <v>44260</v>
      </c>
      <c r="F1171">
        <v>43673</v>
      </c>
      <c r="G1171" s="16" t="s">
        <v>17</v>
      </c>
      <c r="H1171" s="3">
        <v>45348</v>
      </c>
      <c r="I1171" s="3">
        <v>45351</v>
      </c>
      <c r="J1171" t="s">
        <v>18</v>
      </c>
      <c r="K1171" t="s">
        <v>56</v>
      </c>
      <c r="L1171">
        <v>3</v>
      </c>
      <c r="M1171" t="s">
        <v>20</v>
      </c>
    </row>
    <row r="1172" spans="1:13" x14ac:dyDescent="0.35">
      <c r="A1172" t="s">
        <v>1229</v>
      </c>
      <c r="B1172" t="s">
        <v>60</v>
      </c>
      <c r="C1172" t="s">
        <v>73</v>
      </c>
      <c r="D1172" t="s">
        <v>61</v>
      </c>
      <c r="E1172">
        <v>2712</v>
      </c>
      <c r="F1172">
        <v>1007</v>
      </c>
      <c r="G1172" s="16" t="s">
        <v>17</v>
      </c>
      <c r="H1172" s="3">
        <v>45508</v>
      </c>
      <c r="I1172" s="3">
        <v>45516</v>
      </c>
      <c r="J1172" t="s">
        <v>50</v>
      </c>
      <c r="K1172" t="s">
        <v>19</v>
      </c>
      <c r="L1172">
        <v>8</v>
      </c>
      <c r="M1172" t="s">
        <v>44</v>
      </c>
    </row>
    <row r="1173" spans="1:13" x14ac:dyDescent="0.35">
      <c r="A1173" t="s">
        <v>1230</v>
      </c>
      <c r="B1173" t="s">
        <v>79</v>
      </c>
      <c r="C1173" t="s">
        <v>38</v>
      </c>
      <c r="D1173" t="s">
        <v>28</v>
      </c>
      <c r="E1173">
        <v>29765</v>
      </c>
      <c r="F1173">
        <v>29209</v>
      </c>
      <c r="G1173" s="16" t="s">
        <v>17</v>
      </c>
      <c r="H1173" s="3">
        <v>45339</v>
      </c>
      <c r="I1173" s="3">
        <v>45348</v>
      </c>
      <c r="J1173" t="s">
        <v>50</v>
      </c>
      <c r="K1173" t="s">
        <v>47</v>
      </c>
      <c r="L1173">
        <v>9</v>
      </c>
      <c r="M1173" t="s">
        <v>20</v>
      </c>
    </row>
    <row r="1174" spans="1:13" x14ac:dyDescent="0.35">
      <c r="A1174" t="s">
        <v>1231</v>
      </c>
      <c r="B1174" t="s">
        <v>26</v>
      </c>
      <c r="C1174" t="s">
        <v>27</v>
      </c>
      <c r="D1174" t="s">
        <v>23</v>
      </c>
      <c r="E1174">
        <v>16346</v>
      </c>
      <c r="F1174">
        <v>15970</v>
      </c>
      <c r="G1174" s="16" t="s">
        <v>17</v>
      </c>
      <c r="H1174" s="3">
        <v>45578</v>
      </c>
      <c r="I1174" s="3">
        <v>45588</v>
      </c>
      <c r="J1174" t="s">
        <v>18</v>
      </c>
      <c r="K1174" t="s">
        <v>30</v>
      </c>
      <c r="L1174">
        <v>10</v>
      </c>
      <c r="M1174" t="s">
        <v>76</v>
      </c>
    </row>
    <row r="1175" spans="1:13" x14ac:dyDescent="0.35">
      <c r="A1175" t="s">
        <v>1232</v>
      </c>
      <c r="B1175" t="s">
        <v>72</v>
      </c>
      <c r="C1175" t="s">
        <v>64</v>
      </c>
      <c r="D1175" t="s">
        <v>34</v>
      </c>
      <c r="E1175">
        <v>44775</v>
      </c>
      <c r="F1175">
        <v>43081</v>
      </c>
      <c r="G1175" s="16" t="s">
        <v>17</v>
      </c>
      <c r="H1175" s="3">
        <v>45486</v>
      </c>
      <c r="I1175" s="3">
        <v>45489</v>
      </c>
      <c r="J1175" t="s">
        <v>18</v>
      </c>
      <c r="K1175" t="s">
        <v>30</v>
      </c>
      <c r="L1175">
        <v>3</v>
      </c>
      <c r="M1175" t="s">
        <v>85</v>
      </c>
    </row>
    <row r="1176" spans="1:13" x14ac:dyDescent="0.35">
      <c r="A1176" t="s">
        <v>1233</v>
      </c>
      <c r="B1176" t="s">
        <v>41</v>
      </c>
      <c r="C1176" t="s">
        <v>27</v>
      </c>
      <c r="D1176" t="s">
        <v>28</v>
      </c>
      <c r="E1176">
        <v>19689</v>
      </c>
      <c r="F1176">
        <v>19476</v>
      </c>
      <c r="G1176" s="16" t="s">
        <v>17</v>
      </c>
      <c r="H1176" s="3">
        <v>45331</v>
      </c>
      <c r="I1176" s="3">
        <v>45337</v>
      </c>
      <c r="J1176" t="s">
        <v>50</v>
      </c>
      <c r="K1176" t="s">
        <v>47</v>
      </c>
      <c r="L1176">
        <v>6</v>
      </c>
      <c r="M1176" t="s">
        <v>20</v>
      </c>
    </row>
    <row r="1177" spans="1:13" x14ac:dyDescent="0.35">
      <c r="A1177" t="s">
        <v>1234</v>
      </c>
      <c r="B1177" t="s">
        <v>26</v>
      </c>
      <c r="C1177" t="s">
        <v>38</v>
      </c>
      <c r="D1177" t="s">
        <v>61</v>
      </c>
      <c r="E1177">
        <v>37492</v>
      </c>
      <c r="F1177">
        <v>37359</v>
      </c>
      <c r="G1177" s="16" t="s">
        <v>17</v>
      </c>
      <c r="H1177" s="3">
        <v>45400</v>
      </c>
      <c r="I1177" s="3">
        <v>45410</v>
      </c>
      <c r="J1177" t="s">
        <v>18</v>
      </c>
      <c r="K1177" t="s">
        <v>30</v>
      </c>
      <c r="L1177">
        <v>10</v>
      </c>
      <c r="M1177" t="s">
        <v>51</v>
      </c>
    </row>
    <row r="1178" spans="1:13" x14ac:dyDescent="0.35">
      <c r="A1178" t="s">
        <v>1235</v>
      </c>
      <c r="B1178" t="s">
        <v>96</v>
      </c>
      <c r="C1178" t="s">
        <v>46</v>
      </c>
      <c r="D1178" t="s">
        <v>28</v>
      </c>
      <c r="E1178">
        <v>43837</v>
      </c>
      <c r="F1178">
        <v>43345</v>
      </c>
      <c r="G1178" s="16" t="s">
        <v>17</v>
      </c>
      <c r="H1178" s="3">
        <v>45429</v>
      </c>
      <c r="I1178" s="3">
        <v>45431</v>
      </c>
      <c r="J1178" t="s">
        <v>18</v>
      </c>
      <c r="K1178" t="s">
        <v>19</v>
      </c>
      <c r="L1178">
        <v>2</v>
      </c>
      <c r="M1178" t="s">
        <v>31</v>
      </c>
    </row>
    <row r="1179" spans="1:13" x14ac:dyDescent="0.35">
      <c r="A1179" t="s">
        <v>1236</v>
      </c>
      <c r="B1179" t="s">
        <v>72</v>
      </c>
      <c r="C1179" t="s">
        <v>15</v>
      </c>
      <c r="D1179" t="s">
        <v>23</v>
      </c>
      <c r="E1179">
        <v>22616</v>
      </c>
      <c r="F1179">
        <v>20684</v>
      </c>
      <c r="G1179" s="16" t="s">
        <v>17</v>
      </c>
      <c r="H1179" s="3">
        <v>45450</v>
      </c>
      <c r="I1179" s="3">
        <v>45451</v>
      </c>
      <c r="J1179" t="s">
        <v>50</v>
      </c>
      <c r="K1179" t="s">
        <v>30</v>
      </c>
      <c r="L1179">
        <v>1</v>
      </c>
      <c r="M1179" t="s">
        <v>36</v>
      </c>
    </row>
    <row r="1180" spans="1:13" x14ac:dyDescent="0.35">
      <c r="A1180" t="s">
        <v>1237</v>
      </c>
      <c r="B1180" t="s">
        <v>96</v>
      </c>
      <c r="C1180" t="s">
        <v>27</v>
      </c>
      <c r="D1180" t="s">
        <v>28</v>
      </c>
      <c r="E1180">
        <v>22609</v>
      </c>
      <c r="F1180">
        <v>21123</v>
      </c>
      <c r="G1180" s="16" t="s">
        <v>17</v>
      </c>
      <c r="H1180" s="3">
        <v>45474</v>
      </c>
      <c r="I1180" s="3">
        <v>45477</v>
      </c>
      <c r="J1180" t="s">
        <v>18</v>
      </c>
      <c r="K1180" t="s">
        <v>43</v>
      </c>
      <c r="L1180">
        <v>3</v>
      </c>
      <c r="M1180" t="s">
        <v>85</v>
      </c>
    </row>
    <row r="1181" spans="1:13" x14ac:dyDescent="0.35">
      <c r="A1181" t="s">
        <v>1238</v>
      </c>
      <c r="B1181" t="s">
        <v>22</v>
      </c>
      <c r="C1181" t="s">
        <v>15</v>
      </c>
      <c r="D1181" t="s">
        <v>61</v>
      </c>
      <c r="E1181">
        <v>3552</v>
      </c>
      <c r="F1181">
        <v>0</v>
      </c>
      <c r="G1181" s="16" t="s">
        <v>29</v>
      </c>
      <c r="H1181" s="3">
        <v>45487</v>
      </c>
      <c r="I1181" s="3"/>
      <c r="J1181" t="s">
        <v>50</v>
      </c>
      <c r="K1181" t="s">
        <v>19</v>
      </c>
      <c r="M1181" t="s">
        <v>85</v>
      </c>
    </row>
    <row r="1182" spans="1:13" x14ac:dyDescent="0.35">
      <c r="A1182" t="s">
        <v>1239</v>
      </c>
      <c r="B1182" t="s">
        <v>60</v>
      </c>
      <c r="C1182" t="s">
        <v>38</v>
      </c>
      <c r="D1182" t="s">
        <v>61</v>
      </c>
      <c r="E1182">
        <v>11931</v>
      </c>
      <c r="F1182">
        <v>11770</v>
      </c>
      <c r="G1182" s="16" t="s">
        <v>17</v>
      </c>
      <c r="H1182" s="3">
        <v>45612</v>
      </c>
      <c r="I1182" s="3">
        <v>45614</v>
      </c>
      <c r="J1182" t="s">
        <v>18</v>
      </c>
      <c r="K1182" t="s">
        <v>47</v>
      </c>
      <c r="L1182">
        <v>2</v>
      </c>
      <c r="M1182" t="s">
        <v>48</v>
      </c>
    </row>
    <row r="1183" spans="1:13" x14ac:dyDescent="0.35">
      <c r="A1183" t="s">
        <v>1240</v>
      </c>
      <c r="B1183" t="s">
        <v>33</v>
      </c>
      <c r="C1183" t="s">
        <v>73</v>
      </c>
      <c r="D1183" t="s">
        <v>34</v>
      </c>
      <c r="E1183">
        <v>31326</v>
      </c>
      <c r="F1183">
        <v>30632</v>
      </c>
      <c r="G1183" s="16" t="s">
        <v>17</v>
      </c>
      <c r="H1183" s="3">
        <v>45440</v>
      </c>
      <c r="I1183" s="3">
        <v>45446</v>
      </c>
      <c r="J1183" t="s">
        <v>50</v>
      </c>
      <c r="K1183" t="s">
        <v>47</v>
      </c>
      <c r="L1183">
        <v>6</v>
      </c>
      <c r="M1183" t="s">
        <v>31</v>
      </c>
    </row>
    <row r="1184" spans="1:13" x14ac:dyDescent="0.35">
      <c r="A1184" t="s">
        <v>1241</v>
      </c>
      <c r="B1184" t="s">
        <v>22</v>
      </c>
      <c r="C1184" t="s">
        <v>46</v>
      </c>
      <c r="D1184" t="s">
        <v>28</v>
      </c>
      <c r="E1184">
        <v>42002</v>
      </c>
      <c r="F1184">
        <v>0</v>
      </c>
      <c r="G1184" s="16" t="s">
        <v>29</v>
      </c>
      <c r="H1184" s="3">
        <v>45330</v>
      </c>
      <c r="I1184" s="3"/>
      <c r="J1184" t="s">
        <v>18</v>
      </c>
      <c r="K1184" t="s">
        <v>19</v>
      </c>
      <c r="M1184" t="s">
        <v>20</v>
      </c>
    </row>
    <row r="1185" spans="1:13" x14ac:dyDescent="0.35">
      <c r="A1185" t="s">
        <v>1242</v>
      </c>
      <c r="B1185" t="s">
        <v>72</v>
      </c>
      <c r="C1185" t="s">
        <v>15</v>
      </c>
      <c r="D1185" t="s">
        <v>23</v>
      </c>
      <c r="E1185">
        <v>11346</v>
      </c>
      <c r="F1185">
        <v>10226</v>
      </c>
      <c r="G1185" s="16" t="s">
        <v>17</v>
      </c>
      <c r="H1185" s="3">
        <v>45336</v>
      </c>
      <c r="I1185" s="3">
        <v>45344</v>
      </c>
      <c r="J1185" t="s">
        <v>18</v>
      </c>
      <c r="K1185" t="s">
        <v>35</v>
      </c>
      <c r="L1185">
        <v>8</v>
      </c>
      <c r="M1185" t="s">
        <v>20</v>
      </c>
    </row>
    <row r="1186" spans="1:13" x14ac:dyDescent="0.35">
      <c r="A1186" t="s">
        <v>1243</v>
      </c>
      <c r="B1186" t="s">
        <v>41</v>
      </c>
      <c r="C1186" t="s">
        <v>73</v>
      </c>
      <c r="D1186" t="s">
        <v>16</v>
      </c>
      <c r="E1186">
        <v>12582</v>
      </c>
      <c r="F1186">
        <v>12009</v>
      </c>
      <c r="G1186" s="16" t="s">
        <v>17</v>
      </c>
      <c r="H1186" s="3">
        <v>45587</v>
      </c>
      <c r="I1186" s="3">
        <v>45593</v>
      </c>
      <c r="J1186" t="s">
        <v>50</v>
      </c>
      <c r="K1186" t="s">
        <v>47</v>
      </c>
      <c r="L1186">
        <v>6</v>
      </c>
      <c r="M1186" t="s">
        <v>76</v>
      </c>
    </row>
    <row r="1187" spans="1:13" x14ac:dyDescent="0.35">
      <c r="A1187" t="s">
        <v>1244</v>
      </c>
      <c r="B1187" t="s">
        <v>14</v>
      </c>
      <c r="C1187" t="s">
        <v>73</v>
      </c>
      <c r="D1187" t="s">
        <v>55</v>
      </c>
      <c r="E1187">
        <v>18904</v>
      </c>
      <c r="F1187">
        <v>18380</v>
      </c>
      <c r="G1187" s="16" t="s">
        <v>17</v>
      </c>
      <c r="H1187" s="3">
        <v>45518</v>
      </c>
      <c r="I1187" s="3">
        <v>45521</v>
      </c>
      <c r="J1187" t="s">
        <v>18</v>
      </c>
      <c r="K1187" t="s">
        <v>19</v>
      </c>
      <c r="L1187">
        <v>3</v>
      </c>
      <c r="M1187" t="s">
        <v>44</v>
      </c>
    </row>
    <row r="1188" spans="1:13" x14ac:dyDescent="0.35">
      <c r="A1188" t="s">
        <v>1245</v>
      </c>
      <c r="B1188" t="s">
        <v>72</v>
      </c>
      <c r="C1188" t="s">
        <v>15</v>
      </c>
      <c r="D1188" t="s">
        <v>34</v>
      </c>
      <c r="E1188">
        <v>20784</v>
      </c>
      <c r="F1188">
        <v>19947</v>
      </c>
      <c r="G1188" s="16" t="s">
        <v>17</v>
      </c>
      <c r="H1188" s="3">
        <v>45609</v>
      </c>
      <c r="I1188" s="3">
        <v>45612</v>
      </c>
      <c r="J1188" t="s">
        <v>50</v>
      </c>
      <c r="K1188" t="s">
        <v>43</v>
      </c>
      <c r="L1188">
        <v>3</v>
      </c>
      <c r="M1188" t="s">
        <v>48</v>
      </c>
    </row>
    <row r="1189" spans="1:13" x14ac:dyDescent="0.35">
      <c r="A1189" t="s">
        <v>1246</v>
      </c>
      <c r="B1189" t="s">
        <v>79</v>
      </c>
      <c r="C1189" t="s">
        <v>38</v>
      </c>
      <c r="D1189" t="s">
        <v>34</v>
      </c>
      <c r="E1189">
        <v>7471</v>
      </c>
      <c r="F1189">
        <v>6435</v>
      </c>
      <c r="G1189" s="16" t="s">
        <v>17</v>
      </c>
      <c r="H1189" s="3">
        <v>45522</v>
      </c>
      <c r="I1189" s="3">
        <v>45527</v>
      </c>
      <c r="J1189" t="s">
        <v>18</v>
      </c>
      <c r="K1189" t="s">
        <v>19</v>
      </c>
      <c r="L1189">
        <v>5</v>
      </c>
      <c r="M1189" t="s">
        <v>44</v>
      </c>
    </row>
    <row r="1190" spans="1:13" x14ac:dyDescent="0.35">
      <c r="A1190" t="s">
        <v>1247</v>
      </c>
      <c r="B1190" t="s">
        <v>60</v>
      </c>
      <c r="C1190" t="s">
        <v>46</v>
      </c>
      <c r="D1190" t="s">
        <v>23</v>
      </c>
      <c r="E1190">
        <v>12129</v>
      </c>
      <c r="F1190">
        <v>11534</v>
      </c>
      <c r="G1190" s="16" t="s">
        <v>17</v>
      </c>
      <c r="H1190" s="3">
        <v>45484</v>
      </c>
      <c r="I1190" s="3">
        <v>45487</v>
      </c>
      <c r="J1190" t="s">
        <v>50</v>
      </c>
      <c r="K1190" t="s">
        <v>30</v>
      </c>
      <c r="L1190">
        <v>3</v>
      </c>
      <c r="M1190" t="s">
        <v>85</v>
      </c>
    </row>
    <row r="1191" spans="1:13" x14ac:dyDescent="0.35">
      <c r="A1191" t="s">
        <v>1248</v>
      </c>
      <c r="B1191" t="s">
        <v>14</v>
      </c>
      <c r="C1191" t="s">
        <v>46</v>
      </c>
      <c r="D1191" t="s">
        <v>58</v>
      </c>
      <c r="E1191">
        <v>32295</v>
      </c>
      <c r="F1191">
        <v>31581</v>
      </c>
      <c r="G1191" s="16" t="s">
        <v>17</v>
      </c>
      <c r="H1191" s="3">
        <v>45530</v>
      </c>
      <c r="I1191" s="3">
        <v>45538</v>
      </c>
      <c r="J1191" t="s">
        <v>50</v>
      </c>
      <c r="K1191" t="s">
        <v>47</v>
      </c>
      <c r="L1191">
        <v>8</v>
      </c>
      <c r="M1191" t="s">
        <v>44</v>
      </c>
    </row>
    <row r="1192" spans="1:13" x14ac:dyDescent="0.35">
      <c r="A1192" t="s">
        <v>1249</v>
      </c>
      <c r="B1192" t="s">
        <v>14</v>
      </c>
      <c r="C1192" t="s">
        <v>73</v>
      </c>
      <c r="D1192" t="s">
        <v>70</v>
      </c>
      <c r="E1192">
        <v>28014</v>
      </c>
      <c r="F1192">
        <v>27606</v>
      </c>
      <c r="G1192" s="16" t="s">
        <v>17</v>
      </c>
      <c r="H1192" s="3">
        <v>45497</v>
      </c>
      <c r="I1192" s="3">
        <v>45503</v>
      </c>
      <c r="J1192" t="s">
        <v>18</v>
      </c>
      <c r="K1192" t="s">
        <v>43</v>
      </c>
      <c r="L1192">
        <v>6</v>
      </c>
      <c r="M1192" t="s">
        <v>85</v>
      </c>
    </row>
    <row r="1193" spans="1:13" x14ac:dyDescent="0.35">
      <c r="A1193" t="s">
        <v>1250</v>
      </c>
      <c r="B1193" t="s">
        <v>41</v>
      </c>
      <c r="C1193" t="s">
        <v>64</v>
      </c>
      <c r="D1193" t="s">
        <v>28</v>
      </c>
      <c r="E1193">
        <v>48025</v>
      </c>
      <c r="F1193">
        <v>47791</v>
      </c>
      <c r="G1193" s="16" t="s">
        <v>17</v>
      </c>
      <c r="H1193" s="3">
        <v>45434</v>
      </c>
      <c r="I1193" s="3">
        <v>45442</v>
      </c>
      <c r="J1193" t="s">
        <v>18</v>
      </c>
      <c r="K1193" t="s">
        <v>19</v>
      </c>
      <c r="L1193">
        <v>8</v>
      </c>
      <c r="M1193" t="s">
        <v>31</v>
      </c>
    </row>
    <row r="1194" spans="1:13" x14ac:dyDescent="0.35">
      <c r="A1194" t="s">
        <v>1251</v>
      </c>
      <c r="B1194" t="s">
        <v>33</v>
      </c>
      <c r="C1194" t="s">
        <v>64</v>
      </c>
      <c r="D1194" t="s">
        <v>61</v>
      </c>
      <c r="E1194">
        <v>43957</v>
      </c>
      <c r="F1194">
        <v>43302</v>
      </c>
      <c r="G1194" s="16" t="s">
        <v>17</v>
      </c>
      <c r="H1194" s="3">
        <v>45582</v>
      </c>
      <c r="I1194" s="3">
        <v>45583</v>
      </c>
      <c r="J1194" t="s">
        <v>50</v>
      </c>
      <c r="K1194" t="s">
        <v>47</v>
      </c>
      <c r="L1194">
        <v>1</v>
      </c>
      <c r="M1194" t="s">
        <v>76</v>
      </c>
    </row>
    <row r="1195" spans="1:13" x14ac:dyDescent="0.35">
      <c r="A1195" t="s">
        <v>1252</v>
      </c>
      <c r="B1195" t="s">
        <v>41</v>
      </c>
      <c r="C1195" t="s">
        <v>27</v>
      </c>
      <c r="D1195" t="s">
        <v>55</v>
      </c>
      <c r="E1195">
        <v>15986</v>
      </c>
      <c r="F1195">
        <v>15553</v>
      </c>
      <c r="G1195" s="16" t="s">
        <v>17</v>
      </c>
      <c r="H1195" s="3">
        <v>45303</v>
      </c>
      <c r="I1195" s="3">
        <v>45310</v>
      </c>
      <c r="J1195" t="s">
        <v>50</v>
      </c>
      <c r="K1195" t="s">
        <v>43</v>
      </c>
      <c r="L1195">
        <v>7</v>
      </c>
      <c r="M1195" t="s">
        <v>39</v>
      </c>
    </row>
    <row r="1196" spans="1:13" x14ac:dyDescent="0.35">
      <c r="A1196" t="s">
        <v>1253</v>
      </c>
      <c r="B1196" t="s">
        <v>33</v>
      </c>
      <c r="C1196" t="s">
        <v>15</v>
      </c>
      <c r="D1196" t="s">
        <v>61</v>
      </c>
      <c r="E1196">
        <v>6538</v>
      </c>
      <c r="F1196">
        <v>5709</v>
      </c>
      <c r="G1196" s="16" t="s">
        <v>17</v>
      </c>
      <c r="H1196" s="3">
        <v>45333</v>
      </c>
      <c r="I1196" s="3">
        <v>45338</v>
      </c>
      <c r="J1196" t="s">
        <v>50</v>
      </c>
      <c r="K1196" t="s">
        <v>30</v>
      </c>
      <c r="L1196">
        <v>5</v>
      </c>
      <c r="M1196" t="s">
        <v>20</v>
      </c>
    </row>
    <row r="1197" spans="1:13" x14ac:dyDescent="0.35">
      <c r="A1197" t="s">
        <v>1254</v>
      </c>
      <c r="B1197" t="s">
        <v>22</v>
      </c>
      <c r="C1197" t="s">
        <v>46</v>
      </c>
      <c r="D1197" t="s">
        <v>16</v>
      </c>
      <c r="E1197">
        <v>14063</v>
      </c>
      <c r="F1197">
        <v>13874</v>
      </c>
      <c r="G1197" s="16" t="s">
        <v>17</v>
      </c>
      <c r="H1197" s="3">
        <v>45511</v>
      </c>
      <c r="I1197" s="3">
        <v>45517</v>
      </c>
      <c r="J1197" t="s">
        <v>50</v>
      </c>
      <c r="K1197" t="s">
        <v>47</v>
      </c>
      <c r="L1197">
        <v>6</v>
      </c>
      <c r="M1197" t="s">
        <v>44</v>
      </c>
    </row>
    <row r="1198" spans="1:13" x14ac:dyDescent="0.35">
      <c r="A1198" t="s">
        <v>1255</v>
      </c>
      <c r="B1198" t="s">
        <v>26</v>
      </c>
      <c r="C1198" t="s">
        <v>38</v>
      </c>
      <c r="D1198" t="s">
        <v>58</v>
      </c>
      <c r="E1198">
        <v>33563</v>
      </c>
      <c r="F1198">
        <v>32467</v>
      </c>
      <c r="G1198" s="16" t="s">
        <v>17</v>
      </c>
      <c r="H1198" s="3">
        <v>45644</v>
      </c>
      <c r="I1198" s="3">
        <v>45647</v>
      </c>
      <c r="J1198" t="s">
        <v>50</v>
      </c>
      <c r="K1198" t="s">
        <v>43</v>
      </c>
      <c r="L1198">
        <v>3</v>
      </c>
      <c r="M1198" t="s">
        <v>62</v>
      </c>
    </row>
    <row r="1199" spans="1:13" x14ac:dyDescent="0.35">
      <c r="A1199" t="s">
        <v>1256</v>
      </c>
      <c r="B1199" t="s">
        <v>53</v>
      </c>
      <c r="C1199" t="s">
        <v>27</v>
      </c>
      <c r="D1199" t="s">
        <v>23</v>
      </c>
      <c r="E1199">
        <v>38759</v>
      </c>
      <c r="F1199">
        <v>0</v>
      </c>
      <c r="G1199" s="16" t="s">
        <v>29</v>
      </c>
      <c r="H1199" s="3">
        <v>45393</v>
      </c>
      <c r="I1199" s="3"/>
      <c r="J1199" t="s">
        <v>18</v>
      </c>
      <c r="K1199" t="s">
        <v>56</v>
      </c>
      <c r="M1199" t="s">
        <v>51</v>
      </c>
    </row>
    <row r="1200" spans="1:13" x14ac:dyDescent="0.35">
      <c r="A1200" t="s">
        <v>1257</v>
      </c>
      <c r="B1200" t="s">
        <v>53</v>
      </c>
      <c r="C1200" t="s">
        <v>73</v>
      </c>
      <c r="D1200" t="s">
        <v>34</v>
      </c>
      <c r="E1200">
        <v>45520</v>
      </c>
      <c r="F1200">
        <v>45491</v>
      </c>
      <c r="G1200" s="16" t="s">
        <v>17</v>
      </c>
      <c r="H1200" s="3">
        <v>45369</v>
      </c>
      <c r="I1200" s="3">
        <v>45377</v>
      </c>
      <c r="J1200" t="s">
        <v>18</v>
      </c>
      <c r="K1200" t="s">
        <v>35</v>
      </c>
      <c r="L1200">
        <v>8</v>
      </c>
      <c r="M1200" t="s">
        <v>67</v>
      </c>
    </row>
    <row r="1201" spans="1:13" x14ac:dyDescent="0.35">
      <c r="A1201" t="s">
        <v>1258</v>
      </c>
      <c r="B1201" t="s">
        <v>41</v>
      </c>
      <c r="C1201" t="s">
        <v>15</v>
      </c>
      <c r="D1201" t="s">
        <v>58</v>
      </c>
      <c r="E1201">
        <v>19223</v>
      </c>
      <c r="F1201">
        <v>0</v>
      </c>
      <c r="G1201" s="16" t="s">
        <v>29</v>
      </c>
      <c r="H1201" s="3">
        <v>45293</v>
      </c>
      <c r="I1201" s="3"/>
      <c r="J1201" t="s">
        <v>50</v>
      </c>
      <c r="K1201" t="s">
        <v>30</v>
      </c>
      <c r="M1201"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4ED14-CD7D-4BF8-A117-08BA1BDEC82F}">
  <dimension ref="A2:L27"/>
  <sheetViews>
    <sheetView workbookViewId="0">
      <selection activeCell="D13" sqref="D13"/>
    </sheetView>
  </sheetViews>
  <sheetFormatPr defaultRowHeight="14.5" x14ac:dyDescent="0.35"/>
  <cols>
    <col min="1" max="1" width="12.58203125" bestFit="1" customWidth="1"/>
    <col min="2" max="2" width="23.58203125" bestFit="1" customWidth="1"/>
    <col min="3" max="4" width="24.25" customWidth="1"/>
    <col min="5" max="5" width="12.58203125" bestFit="1" customWidth="1"/>
    <col min="6" max="6" width="20" bestFit="1" customWidth="1"/>
    <col min="7" max="7" width="16" customWidth="1"/>
    <col min="8" max="8" width="12.58203125" bestFit="1" customWidth="1"/>
    <col min="9" max="9" width="16.33203125" bestFit="1" customWidth="1"/>
    <col min="11" max="11" width="12.58203125" bestFit="1" customWidth="1"/>
    <col min="12" max="12" width="24.9140625" bestFit="1" customWidth="1"/>
    <col min="13" max="13" width="21.58203125" customWidth="1"/>
  </cols>
  <sheetData>
    <row r="2" spans="1:12" ht="19" x14ac:dyDescent="0.45">
      <c r="B2" s="7" t="s">
        <v>1274</v>
      </c>
      <c r="C2" s="7"/>
      <c r="D2" s="7"/>
      <c r="F2" s="7" t="s">
        <v>1266</v>
      </c>
      <c r="G2" s="7"/>
    </row>
    <row r="3" spans="1:12" x14ac:dyDescent="0.35">
      <c r="A3" s="4" t="s">
        <v>1259</v>
      </c>
      <c r="B3" t="s">
        <v>1261</v>
      </c>
      <c r="E3" s="4" t="s">
        <v>1259</v>
      </c>
      <c r="F3" t="s">
        <v>1265</v>
      </c>
    </row>
    <row r="4" spans="1:12" x14ac:dyDescent="0.35">
      <c r="A4" s="5" t="s">
        <v>17</v>
      </c>
      <c r="B4" s="6">
        <v>611</v>
      </c>
      <c r="C4" s="6"/>
      <c r="D4" s="6"/>
      <c r="E4" s="5" t="s">
        <v>27</v>
      </c>
      <c r="F4" s="8">
        <v>2685930</v>
      </c>
    </row>
    <row r="5" spans="1:12" x14ac:dyDescent="0.35">
      <c r="A5" s="5" t="s">
        <v>29</v>
      </c>
      <c r="B5" s="6">
        <v>161</v>
      </c>
      <c r="C5" s="6"/>
      <c r="D5" s="6"/>
      <c r="E5" s="5" t="s">
        <v>15</v>
      </c>
      <c r="F5" s="8">
        <v>4956088</v>
      </c>
    </row>
    <row r="6" spans="1:12" ht="19" x14ac:dyDescent="0.45">
      <c r="A6" s="5" t="s">
        <v>1260</v>
      </c>
      <c r="B6" s="6">
        <v>772</v>
      </c>
      <c r="C6" s="6"/>
      <c r="D6" s="6"/>
      <c r="E6" s="5" t="s">
        <v>73</v>
      </c>
      <c r="F6" s="8">
        <v>2434300</v>
      </c>
      <c r="I6" s="7" t="s">
        <v>1264</v>
      </c>
    </row>
    <row r="7" spans="1:12" x14ac:dyDescent="0.35">
      <c r="E7" s="5" t="s">
        <v>64</v>
      </c>
      <c r="F7" s="8">
        <v>2635325</v>
      </c>
      <c r="H7" s="4" t="s">
        <v>1259</v>
      </c>
      <c r="I7" t="s">
        <v>1261</v>
      </c>
    </row>
    <row r="8" spans="1:12" x14ac:dyDescent="0.35">
      <c r="E8" s="5" t="s">
        <v>38</v>
      </c>
      <c r="F8" s="8">
        <v>4759604</v>
      </c>
      <c r="H8" s="5" t="s">
        <v>50</v>
      </c>
      <c r="I8" s="6">
        <v>378</v>
      </c>
    </row>
    <row r="9" spans="1:12" ht="19" x14ac:dyDescent="0.45">
      <c r="B9" s="7" t="s">
        <v>1276</v>
      </c>
      <c r="C9" s="7" t="s">
        <v>1275</v>
      </c>
      <c r="D9" s="7"/>
      <c r="E9" s="5" t="s">
        <v>46</v>
      </c>
      <c r="F9" s="8">
        <v>2918379</v>
      </c>
      <c r="G9" s="7"/>
      <c r="H9" s="5" t="s">
        <v>18</v>
      </c>
      <c r="I9" s="6">
        <v>394</v>
      </c>
    </row>
    <row r="10" spans="1:12" x14ac:dyDescent="0.35">
      <c r="A10" s="4" t="s">
        <v>1259</v>
      </c>
      <c r="B10" t="s">
        <v>1262</v>
      </c>
      <c r="E10" s="5" t="s">
        <v>1260</v>
      </c>
      <c r="F10" s="8">
        <v>20389626</v>
      </c>
      <c r="H10" s="5" t="s">
        <v>1260</v>
      </c>
      <c r="I10" s="6">
        <v>772</v>
      </c>
    </row>
    <row r="11" spans="1:12" x14ac:dyDescent="0.35">
      <c r="A11" s="5" t="s">
        <v>43</v>
      </c>
      <c r="B11" s="8">
        <v>2557043</v>
      </c>
      <c r="C11" s="8"/>
      <c r="D11" s="8"/>
    </row>
    <row r="12" spans="1:12" x14ac:dyDescent="0.35">
      <c r="A12" s="5" t="s">
        <v>35</v>
      </c>
      <c r="B12" s="8">
        <v>2467689</v>
      </c>
      <c r="C12" s="8"/>
      <c r="D12" s="8"/>
    </row>
    <row r="13" spans="1:12" ht="19" x14ac:dyDescent="0.45">
      <c r="A13" s="5" t="s">
        <v>19</v>
      </c>
      <c r="B13" s="8">
        <v>2779257</v>
      </c>
      <c r="C13" s="8"/>
      <c r="D13" s="8"/>
      <c r="F13" s="7" t="s">
        <v>1272</v>
      </c>
    </row>
    <row r="14" spans="1:12" ht="19" x14ac:dyDescent="0.45">
      <c r="A14" s="5" t="s">
        <v>47</v>
      </c>
      <c r="B14" s="8">
        <v>4884431</v>
      </c>
      <c r="C14" s="8"/>
      <c r="D14" s="8"/>
      <c r="E14" s="4" t="s">
        <v>1259</v>
      </c>
      <c r="F14" t="s">
        <v>1265</v>
      </c>
      <c r="I14" s="1" t="s">
        <v>1273</v>
      </c>
      <c r="K14" s="7"/>
    </row>
    <row r="15" spans="1:12" ht="19" x14ac:dyDescent="0.45">
      <c r="A15" s="5" t="s">
        <v>30</v>
      </c>
      <c r="B15" s="8">
        <v>2529262</v>
      </c>
      <c r="C15" s="8"/>
      <c r="D15" s="8"/>
      <c r="E15" s="5" t="s">
        <v>39</v>
      </c>
      <c r="F15" s="8">
        <v>2784532</v>
      </c>
      <c r="H15" s="4" t="s">
        <v>1259</v>
      </c>
      <c r="I15" t="s">
        <v>1263</v>
      </c>
      <c r="L15" s="7"/>
    </row>
    <row r="16" spans="1:12" x14ac:dyDescent="0.35">
      <c r="A16" s="5" t="s">
        <v>1260</v>
      </c>
      <c r="B16" s="8">
        <v>15217682</v>
      </c>
      <c r="C16" s="8"/>
      <c r="D16" s="8"/>
      <c r="E16" s="5" t="s">
        <v>20</v>
      </c>
      <c r="F16" s="8">
        <v>2826164</v>
      </c>
      <c r="H16" s="5" t="s">
        <v>50</v>
      </c>
      <c r="I16" s="9">
        <v>5.4465811965811968</v>
      </c>
    </row>
    <row r="17" spans="1:9" x14ac:dyDescent="0.35">
      <c r="C17" s="8"/>
      <c r="D17" s="8"/>
      <c r="E17" s="5" t="s">
        <v>67</v>
      </c>
      <c r="F17" s="8">
        <v>2243091</v>
      </c>
      <c r="H17" s="5" t="s">
        <v>18</v>
      </c>
      <c r="I17" s="9">
        <v>5.4327122153209109</v>
      </c>
    </row>
    <row r="18" spans="1:9" x14ac:dyDescent="0.35">
      <c r="E18" s="5" t="s">
        <v>51</v>
      </c>
      <c r="F18" s="8">
        <v>1752545</v>
      </c>
      <c r="H18" s="5" t="s">
        <v>1260</v>
      </c>
      <c r="I18" s="9">
        <v>5.4395373291272344</v>
      </c>
    </row>
    <row r="19" spans="1:9" x14ac:dyDescent="0.35">
      <c r="E19" s="5" t="s">
        <v>31</v>
      </c>
      <c r="F19" s="8">
        <v>1858016</v>
      </c>
    </row>
    <row r="20" spans="1:9" ht="19" x14ac:dyDescent="0.45">
      <c r="B20" s="7" t="s">
        <v>1271</v>
      </c>
      <c r="C20" s="7"/>
      <c r="D20" s="7"/>
      <c r="E20" s="5" t="s">
        <v>36</v>
      </c>
      <c r="F20" s="8">
        <v>1603506</v>
      </c>
    </row>
    <row r="21" spans="1:9" x14ac:dyDescent="0.35">
      <c r="A21" s="4" t="s">
        <v>1259</v>
      </c>
      <c r="B21" t="s">
        <v>1261</v>
      </c>
      <c r="E21" s="5" t="s">
        <v>85</v>
      </c>
      <c r="F21" s="8">
        <v>2807491</v>
      </c>
    </row>
    <row r="22" spans="1:9" x14ac:dyDescent="0.35">
      <c r="A22" s="5" t="s">
        <v>43</v>
      </c>
      <c r="B22" s="6">
        <v>126</v>
      </c>
      <c r="D22" s="10"/>
      <c r="E22" s="5" t="s">
        <v>44</v>
      </c>
      <c r="F22" s="8">
        <v>2440605</v>
      </c>
    </row>
    <row r="23" spans="1:9" x14ac:dyDescent="0.35">
      <c r="A23" s="5" t="s">
        <v>35</v>
      </c>
      <c r="B23" s="6">
        <v>128</v>
      </c>
      <c r="D23" s="10"/>
      <c r="E23" s="5" t="s">
        <v>24</v>
      </c>
      <c r="F23" s="8">
        <v>2073676</v>
      </c>
    </row>
    <row r="24" spans="1:9" x14ac:dyDescent="0.35">
      <c r="A24" s="5" t="s">
        <v>19</v>
      </c>
      <c r="B24" s="6">
        <v>128</v>
      </c>
      <c r="D24" s="10"/>
      <c r="E24" s="5" t="s">
        <v>1260</v>
      </c>
      <c r="F24" s="8">
        <v>20389626</v>
      </c>
    </row>
    <row r="25" spans="1:9" x14ac:dyDescent="0.35">
      <c r="A25" s="5" t="s">
        <v>47</v>
      </c>
      <c r="B25" s="6">
        <v>251</v>
      </c>
    </row>
    <row r="26" spans="1:9" x14ac:dyDescent="0.35">
      <c r="A26" s="5" t="s">
        <v>30</v>
      </c>
      <c r="B26" s="6">
        <v>139</v>
      </c>
    </row>
    <row r="27" spans="1:9" x14ac:dyDescent="0.35">
      <c r="A27" s="5" t="s">
        <v>1260</v>
      </c>
      <c r="B27" s="6">
        <v>772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DATA</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mandulapriya.1@outlook.com</dc:creator>
  <cp:lastModifiedBy>mandulapriya.1@outlook.com</cp:lastModifiedBy>
  <dcterms:created xsi:type="dcterms:W3CDTF">2026-03-11T05:27:18Z</dcterms:created>
  <dcterms:modified xsi:type="dcterms:W3CDTF">2026-03-11T11:19:15Z</dcterms:modified>
</cp:coreProperties>
</file>